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hub\"/>
    </mc:Choice>
  </mc:AlternateContent>
  <xr:revisionPtr revIDLastSave="0" documentId="8_{6667EE98-D22B-41BC-BA77-1C83EAD6C9C1}" xr6:coauthVersionLast="47" xr6:coauthVersionMax="47" xr10:uidLastSave="{00000000-0000-0000-0000-000000000000}"/>
  <bookViews>
    <workbookView xWindow="25695" yWindow="0" windowWidth="26010" windowHeight="20985" xr2:uid="{24F529D1-C680-4D03-A1A0-EA24A1AE5A21}"/>
  </bookViews>
  <sheets>
    <sheet name="Checklist" sheetId="1" r:id="rId1"/>
    <sheet name="Definitions" sheetId="2" r:id="rId2"/>
    <sheet name="Lookup" sheetId="3" r:id="rId3"/>
  </sheets>
  <definedNames>
    <definedName name="_xlnm.Print_Area" localSheetId="0">Checklist!$A$1:$H$86</definedName>
    <definedName name="_xlnm.Print_Titles" localSheetId="0">Checklist!$6:$6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47" i="1"/>
  <c r="E51" i="1"/>
  <c r="E55" i="1"/>
  <c r="E59" i="1"/>
  <c r="E63" i="1"/>
  <c r="E67" i="1"/>
  <c r="E71" i="1"/>
  <c r="E75" i="1"/>
  <c r="E79" i="1"/>
  <c r="E83" i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E3" i="3"/>
  <c r="E4" i="3"/>
  <c r="E5" i="3"/>
  <c r="E6" i="3"/>
  <c r="E7" i="3"/>
  <c r="E8" i="3"/>
  <c r="E9" i="3"/>
  <c r="E10" i="3"/>
  <c r="E11" i="3"/>
  <c r="E12" i="3"/>
  <c r="E13" i="3"/>
  <c r="E14" i="3"/>
  <c r="E2" i="3"/>
  <c r="E8" i="1"/>
  <c r="D4" i="1" a="1"/>
  <c r="D4" i="1" s="1"/>
  <c r="C4" i="1"/>
  <c r="E43" i="1" l="1"/>
  <c r="E31" i="1"/>
  <c r="E86" i="1"/>
  <c r="D86" i="1" s="1" a="1"/>
  <c r="D86" i="1" s="1"/>
  <c r="E82" i="1"/>
  <c r="D82" i="1" s="1" a="1"/>
  <c r="D82" i="1" s="1"/>
  <c r="E78" i="1"/>
  <c r="E74" i="1"/>
  <c r="E70" i="1"/>
  <c r="D70" i="1" s="1" a="1"/>
  <c r="D70" i="1" s="1"/>
  <c r="E66" i="1"/>
  <c r="D66" i="1" s="1" a="1"/>
  <c r="D66" i="1" s="1"/>
  <c r="E62" i="1"/>
  <c r="E58" i="1"/>
  <c r="E54" i="1"/>
  <c r="D54" i="1" s="1" a="1"/>
  <c r="D54" i="1" s="1"/>
  <c r="E50" i="1"/>
  <c r="D50" i="1" s="1" a="1"/>
  <c r="D50" i="1" s="1"/>
  <c r="E46" i="1"/>
  <c r="E42" i="1"/>
  <c r="E38" i="1"/>
  <c r="D38" i="1" s="1" a="1"/>
  <c r="D38" i="1" s="1"/>
  <c r="E34" i="1"/>
  <c r="D34" i="1" s="1" a="1"/>
  <c r="D34" i="1" s="1"/>
  <c r="E30" i="1"/>
  <c r="E85" i="1"/>
  <c r="E81" i="1"/>
  <c r="D81" i="1" s="1" a="1"/>
  <c r="D81" i="1" s="1"/>
  <c r="E77" i="1"/>
  <c r="D77" i="1" s="1" a="1"/>
  <c r="D77" i="1" s="1"/>
  <c r="E73" i="1"/>
  <c r="E69" i="1"/>
  <c r="E65" i="1"/>
  <c r="D65" i="1" s="1" a="1"/>
  <c r="D65" i="1" s="1"/>
  <c r="E61" i="1"/>
  <c r="D61" i="1" s="1" a="1"/>
  <c r="D61" i="1" s="1"/>
  <c r="E57" i="1"/>
  <c r="E53" i="1"/>
  <c r="E49" i="1"/>
  <c r="D49" i="1" s="1" a="1"/>
  <c r="D49" i="1" s="1"/>
  <c r="E45" i="1"/>
  <c r="D45" i="1" s="1" a="1"/>
  <c r="D45" i="1" s="1"/>
  <c r="E41" i="1"/>
  <c r="E37" i="1"/>
  <c r="E33" i="1"/>
  <c r="D33" i="1" s="1" a="1"/>
  <c r="D33" i="1" s="1"/>
  <c r="E29" i="1"/>
  <c r="D29" i="1" s="1" a="1"/>
  <c r="D29" i="1" s="1"/>
  <c r="E39" i="1"/>
  <c r="E35" i="1"/>
  <c r="E84" i="1"/>
  <c r="E80" i="1"/>
  <c r="D80" i="1" s="1" a="1"/>
  <c r="D80" i="1" s="1"/>
  <c r="E76" i="1"/>
  <c r="E72" i="1"/>
  <c r="E68" i="1"/>
  <c r="D68" i="1" s="1" a="1"/>
  <c r="D68" i="1" s="1"/>
  <c r="E64" i="1"/>
  <c r="E60" i="1"/>
  <c r="E56" i="1"/>
  <c r="E52" i="1"/>
  <c r="D52" i="1" s="1" a="1"/>
  <c r="D52" i="1" s="1"/>
  <c r="E48" i="1"/>
  <c r="E44" i="1"/>
  <c r="E40" i="1"/>
  <c r="D40" i="1" s="1" a="1"/>
  <c r="D40" i="1" s="1"/>
  <c r="E36" i="1"/>
  <c r="D36" i="1" s="1" a="1"/>
  <c r="D36" i="1" s="1"/>
  <c r="E32" i="1"/>
  <c r="D32" i="1" s="1" a="1"/>
  <c r="D32" i="1" s="1"/>
  <c r="E28" i="1"/>
  <c r="E27" i="1"/>
  <c r="E23" i="1"/>
  <c r="D23" i="1" s="1" a="1"/>
  <c r="D23" i="1" s="1"/>
  <c r="E19" i="1"/>
  <c r="D19" i="1" s="1" a="1"/>
  <c r="D19" i="1" s="1"/>
  <c r="E15" i="1"/>
  <c r="D15" i="1" s="1" a="1"/>
  <c r="D15" i="1" s="1"/>
  <c r="E11" i="1"/>
  <c r="D11" i="1" s="1" a="1"/>
  <c r="D11" i="1" s="1"/>
  <c r="E26" i="1"/>
  <c r="D26" i="1" s="1" a="1"/>
  <c r="D26" i="1" s="1"/>
  <c r="E22" i="1"/>
  <c r="D22" i="1" s="1" a="1"/>
  <c r="D22" i="1" s="1"/>
  <c r="E18" i="1"/>
  <c r="D18" i="1" s="1" a="1"/>
  <c r="D18" i="1" s="1"/>
  <c r="E14" i="1"/>
  <c r="E10" i="1"/>
  <c r="E25" i="1"/>
  <c r="D25" i="1" s="1" a="1"/>
  <c r="D25" i="1" s="1"/>
  <c r="E21" i="1"/>
  <c r="D21" i="1" s="1" a="1"/>
  <c r="D21" i="1" s="1"/>
  <c r="E17" i="1"/>
  <c r="E13" i="1"/>
  <c r="D13" i="1" s="1" a="1"/>
  <c r="D13" i="1" s="1"/>
  <c r="E9" i="1"/>
  <c r="D9" i="1" s="1" a="1"/>
  <c r="D9" i="1" s="1"/>
  <c r="E24" i="1"/>
  <c r="E20" i="1"/>
  <c r="D20" i="1" s="1" a="1"/>
  <c r="D20" i="1" s="1"/>
  <c r="E16" i="1"/>
  <c r="D16" i="1" s="1" a="1"/>
  <c r="D16" i="1" s="1"/>
  <c r="E12" i="1"/>
  <c r="D12" i="1" s="1" a="1"/>
  <c r="D12" i="1" s="1"/>
  <c r="D62" i="1" a="1"/>
  <c r="D62" i="1" s="1"/>
  <c r="D46" i="1" a="1"/>
  <c r="D46" i="1" s="1"/>
  <c r="D14" i="1" a="1"/>
  <c r="D14" i="1" s="1"/>
  <c r="D72" i="1" a="1"/>
  <c r="D72" i="1" s="1"/>
  <c r="D64" i="1" a="1"/>
  <c r="D64" i="1" s="1"/>
  <c r="D44" i="1" a="1"/>
  <c r="D44" i="1" s="1"/>
  <c r="D24" i="1" a="1"/>
  <c r="D24" i="1" s="1"/>
  <c r="D8" i="1" a="1"/>
  <c r="D8" i="1" s="1"/>
  <c r="D78" i="1" a="1"/>
  <c r="D78" i="1" s="1"/>
  <c r="D74" i="1" a="1"/>
  <c r="D74" i="1" s="1"/>
  <c r="D58" i="1" a="1"/>
  <c r="D58" i="1" s="1"/>
  <c r="D42" i="1" a="1"/>
  <c r="D42" i="1" s="1"/>
  <c r="D30" i="1" a="1"/>
  <c r="D30" i="1" s="1"/>
  <c r="D10" i="1" a="1"/>
  <c r="D10" i="1" s="1"/>
  <c r="D85" i="1" a="1"/>
  <c r="D85" i="1" s="1"/>
  <c r="D73" i="1" a="1"/>
  <c r="D73" i="1" s="1"/>
  <c r="D69" i="1" a="1"/>
  <c r="D69" i="1" s="1"/>
  <c r="D57" i="1" a="1"/>
  <c r="D57" i="1" s="1"/>
  <c r="D53" i="1" a="1"/>
  <c r="D53" i="1" s="1"/>
  <c r="D41" i="1" a="1"/>
  <c r="D41" i="1" s="1"/>
  <c r="D37" i="1" a="1"/>
  <c r="D37" i="1" s="1"/>
  <c r="D17" i="1" a="1"/>
  <c r="D17" i="1" s="1"/>
  <c r="D84" i="1" a="1"/>
  <c r="D84" i="1" s="1"/>
  <c r="D76" i="1" a="1"/>
  <c r="D76" i="1" s="1"/>
  <c r="D60" i="1" a="1"/>
  <c r="D60" i="1" s="1"/>
  <c r="D56" i="1" a="1"/>
  <c r="D56" i="1" s="1"/>
  <c r="D48" i="1" a="1"/>
  <c r="D48" i="1" s="1"/>
  <c r="D28" i="1" a="1"/>
  <c r="D28" i="1" s="1"/>
  <c r="D83" i="1" a="1"/>
  <c r="D83" i="1" s="1"/>
  <c r="D79" i="1" a="1"/>
  <c r="D79" i="1" s="1"/>
  <c r="D75" i="1" a="1"/>
  <c r="D75" i="1" s="1"/>
  <c r="D71" i="1" a="1"/>
  <c r="D71" i="1" s="1"/>
  <c r="D67" i="1" a="1"/>
  <c r="D67" i="1" s="1"/>
  <c r="D63" i="1" a="1"/>
  <c r="D63" i="1" s="1"/>
  <c r="D59" i="1" a="1"/>
  <c r="D59" i="1" s="1"/>
  <c r="D55" i="1" a="1"/>
  <c r="D55" i="1" s="1"/>
  <c r="D51" i="1" a="1"/>
  <c r="D51" i="1" s="1"/>
  <c r="D47" i="1" a="1"/>
  <c r="D47" i="1" s="1"/>
  <c r="D43" i="1" a="1"/>
  <c r="D43" i="1" s="1"/>
  <c r="D39" i="1" a="1"/>
  <c r="D39" i="1" s="1"/>
  <c r="D35" i="1" a="1"/>
  <c r="D35" i="1" s="1"/>
  <c r="D31" i="1" a="1"/>
  <c r="D31" i="1" s="1"/>
  <c r="D27" i="1" a="1"/>
  <c r="D27" i="1" s="1"/>
  <c r="E4" i="1"/>
  <c r="B4" i="1" l="1"/>
  <c r="D7" i="1" a="1"/>
  <c r="D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<sst xmlns="http://schemas.openxmlformats.org/spreadsheetml/2006/main" count="295" uniqueCount="213">
  <si>
    <t>Task</t>
  </si>
  <si>
    <t>Status</t>
  </si>
  <si>
    <t>Priority</t>
  </si>
  <si>
    <t>Due Date</t>
  </si>
  <si>
    <t>Total Tasks</t>
  </si>
  <si>
    <t>Completed Tasks</t>
  </si>
  <si>
    <t>Data Cleaning &amp; Readiness Checklist</t>
  </si>
  <si>
    <t>Intake &amp; Context Validation</t>
  </si>
  <si>
    <t>Business objective clearly defined (what decision will this data support)</t>
  </si>
  <si>
    <t>Expected reporting level (daily, weekly, monthly, transactional)</t>
  </si>
  <si>
    <t>Known limitations or caveats shared by client</t>
  </si>
  <si>
    <t>Confirm how results will be consumed (dashboard, model, export, executive summary)</t>
  </si>
  <si>
    <t>Data Ownership &amp; Governance</t>
  </si>
  <si>
    <t>Data owner identified</t>
  </si>
  <si>
    <t>Source system(s) documented</t>
  </si>
  <si>
    <t>Refresh cadence confirmed (one-time vs recurring)</t>
  </si>
  <si>
    <t>Data privacy / PII considerations documented</t>
  </si>
  <si>
    <t>File type confirmed (CSV, Excel, Parquet, database extract, API)</t>
  </si>
  <si>
    <t>Encoding validated (UTF-8 preferred)</t>
  </si>
  <si>
    <t>Consistent delimiter (CSV: comma vs pipe vs tab)</t>
  </si>
  <si>
    <t>No merged cells(Excel)</t>
  </si>
  <si>
    <t>Single header row only</t>
  </si>
  <si>
    <t>No embedded totals or subtotals</t>
  </si>
  <si>
    <t>Table Structure</t>
  </si>
  <si>
    <t>One table per file (no multiple layouts in one sheet)</t>
  </si>
  <si>
    <t>Column names are Unique, Descriptive, Free of spaces/special characters</t>
  </si>
  <si>
    <t>Column order consistent across files / extracts</t>
  </si>
  <si>
    <t>No duplicate columns with different names</t>
  </si>
  <si>
    <t>Data Types &amp; Formatting</t>
  </si>
  <si>
    <t>Numeric fields contain only numeric values</t>
  </si>
  <si>
    <t>Dates stored as dates (not text)</t>
  </si>
  <si>
    <t>Boolean fields standardized (0/1 or TRUE/FALSE)</t>
  </si>
  <si>
    <t>Categorical fields standardized (case, spelling)</t>
  </si>
  <si>
    <t>No mixed data types within a column</t>
  </si>
  <si>
    <t>No currency symbols in numeric fields</t>
  </si>
  <si>
    <t>Percentages stored as decimals or clearly labeled</t>
  </si>
  <si>
    <t>Leading/trailing whitespace removed</t>
  </si>
  <si>
    <t>Consistent decimal precision</t>
  </si>
  <si>
    <t>Grain &amp; Uniqueness</t>
  </si>
  <si>
    <t>Grain clearly defined (e.g. one row = one transaction per item per day)</t>
  </si>
  <si>
    <t>Grain matches analytical intent</t>
  </si>
  <si>
    <t>No hidden aggregation in source data</t>
  </si>
  <si>
    <t>Primary key identified</t>
  </si>
  <si>
    <t>Primary key uniqueness validated</t>
  </si>
  <si>
    <t>Duplicate rows identified and resolved</t>
  </si>
  <si>
    <t>Surrogate key strategy defined (if needed)</t>
  </si>
  <si>
    <t>Missing, Null, and Invalid Data</t>
  </si>
  <si>
    <t>Null counts reviewed per column</t>
  </si>
  <si>
    <t>Expected vs unexpected nulls identified</t>
  </si>
  <si>
    <t>Business rules for null handling documented</t>
  </si>
  <si>
    <t>Decision per field: 1) Leave as NULL, 2) Default to 0, 3) Impute (mean/median/logic), 4) Exclude record</t>
  </si>
  <si>
    <t>Null handling consistent across layers (SQL, BI, models)</t>
  </si>
  <si>
    <t>Out-of-range values identified</t>
  </si>
  <si>
    <t>Negative values validated where applicable</t>
  </si>
  <si>
    <t>Sentinel values (-1, 999, "N/A") standardized or removed</t>
  </si>
  <si>
    <t>Consistency &amp; Referential Integrity</t>
  </si>
  <si>
    <t>Totals equal sum of parts</t>
  </si>
  <si>
    <t>Dates align across related tables</t>
  </si>
  <si>
    <t>Status codes align with dates (e.g. closed date after open date)</t>
  </si>
  <si>
    <t>All foreign keys have matching parents</t>
  </si>
  <si>
    <t>Orphan records identified</t>
  </si>
  <si>
    <t>Lookup tables validated and deduplicated</t>
  </si>
  <si>
    <t>Many-to-many relationships explicitly modeled</t>
  </si>
  <si>
    <t>Outliers &amp; Distribution Review</t>
  </si>
  <si>
    <t>Min / max reviewed</t>
  </si>
  <si>
    <t>Distribution reviewed (skew, spikes)</t>
  </si>
  <si>
    <t>Sudden step-changes flagged</t>
  </si>
  <si>
    <t>Seasonality patterns validated (if applicable)</t>
  </si>
  <si>
    <t>Outliers reviewed with stakeholder</t>
  </si>
  <si>
    <t>Time Series &amp; Historical Integrity</t>
  </si>
  <si>
    <t>Continuous date coverage validated</t>
  </si>
  <si>
    <t>Missing periods identified</t>
  </si>
  <si>
    <t>Backfilled data flagged</t>
  </si>
  <si>
    <t>Partial records labeled (YTD, MTD, WTD)</t>
  </si>
  <si>
    <t>Calendar vs fiscal logic documented</t>
  </si>
  <si>
    <t>Time zone consistency confirmed</t>
  </si>
  <si>
    <t>Documentation &amp; Transparency</t>
  </si>
  <si>
    <t>Data Dictionary: Column name, Description, Data Type, Grain, Business rules, Source system</t>
  </si>
  <si>
    <t>Cleaning assumptions documented</t>
  </si>
  <si>
    <t>Know data issues logged</t>
  </si>
  <si>
    <t>Tradeoffs explained</t>
  </si>
  <si>
    <t>Client sign-off obtained</t>
  </si>
  <si>
    <t>Readiness Gate (Go / No-Go)</t>
  </si>
  <si>
    <t>Data quality issues reviewed with client</t>
  </si>
  <si>
    <t>All critical issues resolved or accepted</t>
  </si>
  <si>
    <t>Data deemed "fit for purpose"</t>
  </si>
  <si>
    <t>Version of source data locked</t>
  </si>
  <si>
    <t>Reproducible pipeline defined</t>
  </si>
  <si>
    <t>Ongoing / Recurring Data Feeds</t>
  </si>
  <si>
    <t>Automated schema checks</t>
  </si>
  <si>
    <t>Row count variance alerts</t>
  </si>
  <si>
    <t>Null rate monitoring</t>
  </si>
  <si>
    <t>Freshness checks</t>
  </si>
  <si>
    <t>Historical reconciliation</t>
  </si>
  <si>
    <t>Comments</t>
  </si>
  <si>
    <t>Task Group</t>
  </si>
  <si>
    <t>Project Name:</t>
  </si>
  <si>
    <t>Composite keys documented (if applicable)</t>
  </si>
  <si>
    <t>Definition</t>
  </si>
  <si>
    <t>Example</t>
  </si>
  <si>
    <t>Why it matters</t>
  </si>
  <si>
    <t>Deduplicated</t>
  </si>
  <si>
    <t>Removing duplicate records so each key appears only once.</t>
  </si>
  <si>
    <t>Ensuring each product_id appears only once in a lookup table.</t>
  </si>
  <si>
    <t>Ensures accurate joins.</t>
  </si>
  <si>
    <t>Orphan record</t>
  </si>
  <si>
    <t>A record in a child table whose foreign key does not exist in the parent table.</t>
  </si>
  <si>
    <t>A sale referencing a product_id that does not exist in the product table.</t>
  </si>
  <si>
    <t>Breaks relationships between tables and causes missing data in joins.</t>
  </si>
  <si>
    <t>Referential integrity</t>
  </si>
  <si>
    <t>The condition where all foreign keys correctly reference existing primary keys in related tables.</t>
  </si>
  <si>
    <t>Every product_id in fact_sales table exists in dim_product table.</t>
  </si>
  <si>
    <t>Ensures consistency and valid relationships between tables.</t>
  </si>
  <si>
    <t>Primary Key</t>
  </si>
  <si>
    <t>A column or set of columns that uniquely identifies each row in a table.</t>
  </si>
  <si>
    <t>product_id</t>
  </si>
  <si>
    <t>Ensures each record can be uniquely referenced.</t>
  </si>
  <si>
    <t>Surrogate Key</t>
  </si>
  <si>
    <t>A system-generated unique identifier used as a primary key. It has no business meaning and exists solely to uniquely identify records.</t>
  </si>
  <si>
    <t>product_id, customer_id, card_id</t>
  </si>
  <si>
    <t>Provides stable, permanent identifiers that do not change if business data changes.</t>
  </si>
  <si>
    <t>Composite Key</t>
  </si>
  <si>
    <t>(store_id, product_id, sale_date)</t>
  </si>
  <si>
    <t>Used when no single column is sufficient to uniquely identify records.</t>
  </si>
  <si>
    <t>Foreign Key</t>
  </si>
  <si>
    <t>A column that references the primary key of another table to establish a relationship between tables.</t>
  </si>
  <si>
    <t>fact_sales.product_id -&gt; dim_product.product_id</t>
  </si>
  <si>
    <t>Connects related data across tables.</t>
  </si>
  <si>
    <t>NULL Value</t>
  </si>
  <si>
    <t>A value representing missing, unknown, or undefined data.</t>
  </si>
  <si>
    <t>customer_email = NULL</t>
  </si>
  <si>
    <t>May cause errors in joins and calculations.</t>
  </si>
  <si>
    <t>Sentinal Value</t>
  </si>
  <si>
    <t>A predefined placeholder value used instead of NULL to represent missing or unknown data.</t>
  </si>
  <si>
    <t>product_id = -1 meaning "Unknown Product"</t>
  </si>
  <si>
    <t>Allows joins to function correctly.</t>
  </si>
  <si>
    <t>Lookup Table</t>
  </si>
  <si>
    <t>A table containing reference data used to provide additional information about keys.</t>
  </si>
  <si>
    <t>dim_product containing product_names and categories</t>
  </si>
  <si>
    <t>Provides descriptive attributes for analysis.</t>
  </si>
  <si>
    <t>Dimension Table</t>
  </si>
  <si>
    <t>A table containing descriptive attributes used to provide context for fact tables.</t>
  </si>
  <si>
    <t>dim_product, dim_customer</t>
  </si>
  <si>
    <t>Supports filtering, grouping, and reporting.</t>
  </si>
  <si>
    <t>Fact Table</t>
  </si>
  <si>
    <t>A table containing measurable business metrics.</t>
  </si>
  <si>
    <t>fact_sales containing sales transactions</t>
  </si>
  <si>
    <t>Stores the core data used for analysis.</t>
  </si>
  <si>
    <t>PII</t>
  </si>
  <si>
    <t>Stands for Personally Identifiable Information. Any data that can identify a specific individual (i.e. name, email, phone number, address).</t>
  </si>
  <si>
    <t>customer_name, email</t>
  </si>
  <si>
    <t>Must be protected to ensure data privacy and regulatory compliance.</t>
  </si>
  <si>
    <t>Anonymized Data</t>
  </si>
  <si>
    <t>Replacing email with customer_id.</t>
  </si>
  <si>
    <t>Protects privacy while allowing analysis.</t>
  </si>
  <si>
    <t>Data Type Validation</t>
  </si>
  <si>
    <t>Ensuring each column uses the correct data type (i.e. integer, data, text, etc.)</t>
  </si>
  <si>
    <t>price should be numeric, not text</t>
  </si>
  <si>
    <t>Prevents calculation errors.</t>
  </si>
  <si>
    <t>Schema Validation</t>
  </si>
  <si>
    <t>Ensuring table structure matches expected format and definitions.</t>
  </si>
  <si>
    <t>Ensures consistency and compatibility.</t>
  </si>
  <si>
    <t>Data Grain</t>
  </si>
  <si>
    <t>The level of detail represented by each row in a table.</t>
  </si>
  <si>
    <t>One row per card, one row per transaction.</t>
  </si>
  <si>
    <t>Prevents aggregation errors.</t>
  </si>
  <si>
    <t>Join</t>
  </si>
  <si>
    <t>A SQL operation used to combine data from multiple tables based on matching keys.</t>
  </si>
  <si>
    <t>Joining fact_sales to dim_product</t>
  </si>
  <si>
    <t>Allows combining descriptive and transactional data.</t>
  </si>
  <si>
    <t>Aggregation</t>
  </si>
  <si>
    <t>Summarizing data using functions (i.e. SUM, COUNT, AVG, etc.)</t>
  </si>
  <si>
    <t>Total sales by product</t>
  </si>
  <si>
    <t>Produces meaningful metrics.</t>
  </si>
  <si>
    <t>Data Integrity</t>
  </si>
  <si>
    <t>The accuracy, consistency, and reliability of data.</t>
  </si>
  <si>
    <t>Unique Constraint</t>
  </si>
  <si>
    <t>A rule ensuring all values in a column are unique</t>
  </si>
  <si>
    <t>Cardinality</t>
  </si>
  <si>
    <t>The uniqueness of values in a column.</t>
  </si>
  <si>
    <t>High cardinality: customer_id, Low cardinality: gender</t>
  </si>
  <si>
    <t>Data Validation</t>
  </si>
  <si>
    <t>The process of ensuring data meets defined quality rules.</t>
  </si>
  <si>
    <t>Project Start Date:</t>
  </si>
  <si>
    <t>Jeff's Project</t>
  </si>
  <si>
    <t>Notes</t>
  </si>
  <si>
    <t>Official holiday is Saturday, 7/4</t>
  </si>
  <si>
    <t>Easter (Monday holiday)</t>
  </si>
  <si>
    <t>Memorial Day</t>
  </si>
  <si>
    <t>Presidents' Day</t>
  </si>
  <si>
    <t>New Years Day</t>
  </si>
  <si>
    <t>MLK Day</t>
  </si>
  <si>
    <t>Juneteenth</t>
  </si>
  <si>
    <t>Labor Day</t>
  </si>
  <si>
    <t>Columbus Day</t>
  </si>
  <si>
    <t>Thanskgiving</t>
  </si>
  <si>
    <t>Day after Thanksgiving</t>
  </si>
  <si>
    <t>Christmas Eve</t>
  </si>
  <si>
    <t>Christmas</t>
  </si>
  <si>
    <t>Block Days</t>
  </si>
  <si>
    <t>File &amp; Structural Validation</t>
  </si>
  <si>
    <t>Project End Date:</t>
  </si>
  <si>
    <t>Start Date</t>
  </si>
  <si>
    <t>Complete Date</t>
  </si>
  <si>
    <t>Estimated Days</t>
  </si>
  <si>
    <t>Cumulative Days</t>
  </si>
  <si>
    <t>Holiday</t>
  </si>
  <si>
    <t>Confirm whether outliers are: 1) Data errors, 2) Legitimate edge case, 3) One-time events</t>
  </si>
  <si>
    <t>Key metrics and KPIs explicitly defined (formulas, grain, filters)</t>
  </si>
  <si>
    <t>Historical backfill availability confirmed</t>
  </si>
  <si>
    <t>Timestamps include time zone or are clearly defined</t>
  </si>
  <si>
    <t>Data where personal identifiers have been removed or replaced with surrogate keys.</t>
  </si>
  <si>
    <t>A primary key made up of two or more columns that together uniquely identify a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</si>
</sst>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/>
    </xf>
    <xf numFmtId="9" fontId="2" fillId="2" borderId="3" xfId="1" applyFont="1" applyFill="1" applyBorder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/>
    </xf>
    <xf numFmtId="14" fontId="0" fillId="0" borderId="0" xfId="0" applyNumberFormat="1" applyAlignment="1">
      <alignment horizontal="left"/>
    </xf>
    <xf numFmtId="9" fontId="2" fillId="0" borderId="0" xfId="1" applyFont="1" applyFill="1" applyBorder="1"/>
  </cellXfs>
  <cellStyles count="2">
    <cellStyle name="Normal" xfId="0" builtinId="0"/>
    <cellStyle name="Percent" xfId="1" builtinId="5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color theme="1" tint="0.499984740745262"/>
      </font>
      <fill>
        <patternFill>
          <bgColor theme="2"/>
        </patternFill>
      </fill>
    </dxf>
    <dxf>
      <font>
        <color theme="3"/>
      </font>
      <fill>
        <patternFill>
          <bgColor theme="7" tint="0.79998168889431442"/>
        </patternFill>
      </fill>
    </dxf>
    <dxf>
      <font>
        <color rgb="FFFFFF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/>
      </font>
      <fill>
        <patternFill>
          <bgColor theme="7" tint="0.79998168889431442"/>
        </patternFill>
      </fill>
    </dxf>
    <dxf>
      <font>
        <color rgb="FFFFFF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alignment horizontal="general" vertical="bottom" textRotation="0" wrapText="1" indent="0" justifyLastLine="0" shrinkToFit="0" readingOrder="0"/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22/11/relationships/FeaturePropertyBag" Target="featurePropertyBag/featurePropertyBag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571501</xdr:colOff>
      <xdr:row>0</xdr:row>
      <xdr:rowOff>28574</xdr:rowOff>
    </xdr:from>
    <xdr:to>
      <xdr:col>7</xdr:col>
      <xdr:colOff>1333500</xdr:colOff>
      <xdr:row>4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F26F55-532A-14CE-5FE0-E5880F37445A}"/>
            </a:ext>
          </a:extLst>
        </xdr:cNvPr>
        <xdr:cNvSpPr txBox="1"/>
      </xdr:nvSpPr>
      <xdr:spPr>
        <a:xfrm>
          <a:off x="9934576" y="28574"/>
          <a:ext cx="2819399" cy="96202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Fields</a:t>
          </a:r>
          <a:r>
            <a:rPr lang="en-US" sz="1100" b="1" baseline="0"/>
            <a:t> to edit:</a:t>
          </a:r>
        </a:p>
        <a:p>
          <a:r>
            <a:rPr lang="en-US" sz="1100" baseline="0"/>
            <a:t>1. Project Name</a:t>
          </a:r>
        </a:p>
        <a:p>
          <a:r>
            <a:rPr lang="en-US" sz="1100" baseline="0"/>
            <a:t>2. Project Start Date</a:t>
          </a:r>
        </a:p>
        <a:p>
          <a:r>
            <a:rPr lang="en-US" sz="1100" baseline="0"/>
            <a:t>3. Status (when complete)</a:t>
          </a:r>
        </a:p>
        <a:p>
          <a:r>
            <a:rPr lang="en-US" sz="1100" baseline="0"/>
            <a:t>4. Start Date, Complete Date, and Comments</a:t>
          </a:r>
          <a:endParaRPr 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337C24-A4C1-412D-9E93-DFF77E89F52C}" name="Tasks" displayName="Tasks" ref="A6:H86" totalsRowShown="0" headerRowDxfId="20">
  <autoFilter ref="A6:H86" xr:uid="{7D337C24-A4C1-412D-9E93-DFF77E89F52C}"/>
  <tableColumns count="8">
    <tableColumn id="6" xr3:uid="{480D6B67-9623-4B9D-8E46-9E4376792289}" name="Task Group"/>
    <tableColumn id="1" xr3:uid="{3F8224D0-4ED6-4354-9DDC-C3F97D842918}" name="Task"/>
    <tableColumn id="2" xr3:uid="{82FAEF4C-7CAA-4A8F-AA67-27BA884E2B3F}" name="Status" dataDxfId="19"/>
    <tableColumn id="3" xr3:uid="{D7C3BF06-358F-4C75-85DF-0F72A751E2B4}" name="Priority" dataDxfId="18">
      <calculatedColumnFormula array="1">_xlfn.IFS(Tasks[[#This Row],[Status]],"Complete", Tasks[[#This Row],[Due Date]] - TODAY() &lt;=7, "High", Tasks[[#This Row],[Due Date]] - TODAY() &lt;=14, "Medium", TRUE, "Low")</calculatedColumnFormula>
    </tableColumn>
    <tableColumn id="4" xr3:uid="{F7CAD35B-1902-4FFF-8AC6-7928FB204205}" name="Due Date" dataDxfId="15">
      <calculatedColumnFormula>WORKDAY($B$3,
  _xlfn.XLOOKUP(Tasks[[#This Row],[Task Group]], tblPlan[Task Group], tblPlan[Cumulative Days]) - 1,
  holiday[Holiday]
)</calculatedColumnFormula>
    </tableColumn>
    <tableColumn id="15" xr3:uid="{AC8C8D4E-8D51-4FC9-AB58-DA156F9DEF69}" name="Start Date" dataDxfId="13"/>
    <tableColumn id="16" xr3:uid="{904A6387-63C9-4FD0-9FD6-741F87C2E323}" name="Complete Date" dataDxfId="12"/>
    <tableColumn id="5" xr3:uid="{A4574715-5417-43C7-A129-DC6398543D24}" name="Comments" dataDxfId="1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1EDF5D-EB2B-49F3-99EA-4F34B050DCB5}" name="Table4" displayName="Table4" ref="A1:D24" totalsRowShown="0" headerRowDxfId="0" dataDxfId="1">
  <autoFilter ref="A1:D24" xr:uid="{F01EDF5D-EB2B-49F3-99EA-4F34B050DCB5}"/>
  <sortState xmlns:xlrd2="http://schemas.microsoft.com/office/spreadsheetml/2017/richdata2" ref="A2:D24">
    <sortCondition ref="A1:A24"/>
  </sortState>
  <tableColumns count="4">
    <tableColumn id="1" xr3:uid="{D4EFA5E5-69FE-4AF4-8584-BDE2F89543EB}" name="Task"/>
    <tableColumn id="2" xr3:uid="{E5CFB74C-961E-45A0-B9BE-DC2ADF125B0D}" name="Definition" dataDxfId="4"/>
    <tableColumn id="3" xr3:uid="{364DD3BD-705C-4395-B5E0-D7A8F48D1D48}" name="Example" dataDxfId="3"/>
    <tableColumn id="4" xr3:uid="{ED947C53-95E4-4B91-BD2D-5F07C48F9A91}" name="Why it matters" dataDxfId="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CE7E67-27DF-4F05-AFE6-C52B4C7D6176}" name="holiday" displayName="holiday" ref="A1:A14" totalsRowShown="0">
  <autoFilter ref="A1:A14" xr:uid="{D0CE7E67-27DF-4F05-AFE6-C52B4C7D6176}"/>
  <sortState xmlns:xlrd2="http://schemas.microsoft.com/office/spreadsheetml/2017/richdata2" ref="A2:B14">
    <sortCondition ref="A1:A14"/>
  </sortState>
  <tableColumns count="1">
    <tableColumn id="1" xr3:uid="{223A9472-0C37-4FCF-9D88-B04B4A9F1BCF}" name="Holiday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D6B425-04D5-4172-900D-A7765FAE304F}" name="tblPlan" displayName="tblPlan" ref="D1:G14" totalsRowShown="0">
  <autoFilter ref="D1:G14" xr:uid="{E1D6B425-04D5-4172-900D-A7765FAE304F}"/>
  <tableColumns count="4">
    <tableColumn id="1" xr3:uid="{913553C4-072B-4452-B4C7-C269CA4C4A79}" name="Task Group"/>
    <tableColumn id="2" xr3:uid="{98747C1A-7DF2-4385-95FF-B2AE697499F5}" name="Block Days">
      <calculatedColumnFormula>COUNTIF(Tasks[Task Group], D2)</calculatedColumnFormula>
    </tableColumn>
    <tableColumn id="3" xr3:uid="{9010B0EE-3478-4307-8B2B-982498A717D2}" name="Estimated Days"/>
    <tableColumn id="4" xr3:uid="{582A5864-2085-4DDD-90B8-68ACAAB620E7}" name="Cumulative Days" dataDxfId="14">
      <calculatedColumnFormula>SUM(INDEX(tblPlan[Estimated Days],1):tblPlan[[#This Row],[Estimated Days]])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EAA8-FC60-4F69-8568-54C00E9EC77F}">
  <sheetPr codeName="Sheet1">
    <pageSetUpPr fitToPage="1"/>
  </sheetPr>
  <dimension ref="A1:O86"/>
  <sheetViews>
    <sheetView showGridLines="0" tabSelected="1" zoomScaleNormal="100" workbookViewId="0">
      <selection activeCell="B7" sqref="B7"/>
    </sheetView>
  </sheetViews>
  <sheetFormatPr defaultRowHeight="15" x14ac:dyDescent="0.25"/>
  <cols>
    <col min="1" max="1" width="32.42578125" customWidth="1"/>
    <col min="2" max="2" width="70.85546875" customWidth="1"/>
    <col min="3" max="3" width="12.28515625" customWidth="1"/>
    <col min="4" max="4" width="12.140625" customWidth="1"/>
    <col min="5" max="5" width="12.7109375" customWidth="1"/>
    <col min="6" max="6" width="13.7109375" customWidth="1"/>
    <col min="7" max="7" width="17.140625" bestFit="1" customWidth="1"/>
    <col min="8" max="8" width="60.7109375" style="11" customWidth="1"/>
  </cols>
  <sheetData>
    <row r="1" spans="1:15" ht="26.25" x14ac:dyDescent="0.25">
      <c r="A1" s="10" t="s">
        <v>6</v>
      </c>
      <c r="B1" s="8"/>
      <c r="H1" s="15"/>
    </row>
    <row r="2" spans="1:15" ht="15" customHeight="1" x14ac:dyDescent="0.25">
      <c r="A2" s="9" t="s">
        <v>96</v>
      </c>
      <c r="B2" s="17" t="s">
        <v>184</v>
      </c>
      <c r="H2" s="15"/>
    </row>
    <row r="3" spans="1:15" x14ac:dyDescent="0.25">
      <c r="A3" t="s">
        <v>183</v>
      </c>
      <c r="B3" s="17">
        <v>46074</v>
      </c>
      <c r="C3" s="6" t="s">
        <v>4</v>
      </c>
      <c r="D3" s="13" t="s">
        <v>5</v>
      </c>
      <c r="E3" s="14"/>
      <c r="F3" s="16"/>
      <c r="G3" s="16"/>
    </row>
    <row r="4" spans="1:15" x14ac:dyDescent="0.25">
      <c r="A4" t="s">
        <v>201</v>
      </c>
      <c r="B4" s="17">
        <f>MAX(Tasks[Due Date])</f>
        <v>46108</v>
      </c>
      <c r="C4" s="6">
        <f>COUNTA(Tasks[Task])</f>
        <v>80</v>
      </c>
      <c r="D4" s="5" cm="1">
        <f t="array" ref="D4">SUM(--Tasks[Status])</f>
        <v>0</v>
      </c>
      <c r="E4" s="7">
        <f>D4/C4</f>
        <v>0</v>
      </c>
      <c r="F4" s="18"/>
      <c r="G4" s="18"/>
    </row>
    <row r="6" spans="1:15" x14ac:dyDescent="0.25">
      <c r="A6" s="1" t="s">
        <v>95</v>
      </c>
      <c r="B6" s="1" t="s">
        <v>0</v>
      </c>
      <c r="C6" s="4" t="s">
        <v>1</v>
      </c>
      <c r="D6" s="1" t="s">
        <v>2</v>
      </c>
      <c r="E6" s="1" t="s">
        <v>3</v>
      </c>
      <c r="F6" s="1" t="s">
        <v>202</v>
      </c>
      <c r="G6" s="1" t="s">
        <v>203</v>
      </c>
      <c r="H6" s="12" t="s">
        <v>94</v>
      </c>
    </row>
    <row r="7" spans="1:15" x14ac:dyDescent="0.25">
      <c r="A7" t="s">
        <v>7</v>
      </c>
      <c r="B7" t="s">
        <v>8</v>
      </c>
      <c r="C7" s="3" t="b">
        <v>0</v>
      </c>
      <c r="D7" t="str" cm="1">
        <f t="array" aca="1" ref="D7" ca="1">_xlfn.IFS(Tasks[[#This Row],[Status]],"Complete", Tasks[[#This Row],[Due Date]] - TODAY() &lt;=7, "High", Tasks[[#This Row],[Due Date]] - TODAY() &lt;=14, "Medium", TRUE, "Low")</f>
        <v>High</v>
      </c>
      <c r="E7" s="2">
        <f>WORKDAY($B$3,
  _xlfn.XLOOKUP(Tasks[[#This Row],[Task Group]], tblPlan[Task Group], tblPlan[Cumulative Days]) - 1,
  holiday[Holiday]
)</f>
        <v>46076</v>
      </c>
      <c r="F7" s="2"/>
      <c r="G7" s="2"/>
    </row>
    <row r="8" spans="1:15" x14ac:dyDescent="0.25">
      <c r="A8" t="s">
        <v>7</v>
      </c>
      <c r="B8" t="s">
        <v>208</v>
      </c>
      <c r="C8" s="3" t="b">
        <v>0</v>
      </c>
      <c r="D8" t="str" cm="1">
        <f t="array" aca="1" ref="D8" ca="1">_xlfn.IFS(Tasks[[#This Row],[Status]],"Complete", Tasks[[#This Row],[Due Date]] - TODAY() &lt;=7, "High", Tasks[[#This Row],[Due Date]] - TODAY() &lt;=14, "Medium", TRUE, "Low")</f>
        <v>High</v>
      </c>
      <c r="E8" s="2">
        <f>WORKDAY($B$3,
  _xlfn.XLOOKUP(Tasks[[#This Row],[Task Group]], tblPlan[Task Group], tblPlan[Cumulative Days]) - 1,
  holiday[Holiday]
)</f>
        <v>46076</v>
      </c>
      <c r="F8" s="2"/>
      <c r="G8" s="2"/>
      <c r="O8" s="2"/>
    </row>
    <row r="9" spans="1:15" x14ac:dyDescent="0.25">
      <c r="A9" t="s">
        <v>7</v>
      </c>
      <c r="B9" t="s">
        <v>9</v>
      </c>
      <c r="C9" s="3" t="b">
        <v>0</v>
      </c>
      <c r="D9" t="str" cm="1">
        <f t="array" aca="1" ref="D9" ca="1">_xlfn.IFS(Tasks[[#This Row],[Status]],"Complete", Tasks[[#This Row],[Due Date]] - TODAY() &lt;=7, "High", Tasks[[#This Row],[Due Date]] - TODAY() &lt;=14, "Medium", TRUE, "Low")</f>
        <v>High</v>
      </c>
      <c r="E9" s="2">
        <f>WORKDAY($B$3,
  _xlfn.XLOOKUP(Tasks[[#This Row],[Task Group]], tblPlan[Task Group], tblPlan[Cumulative Days]) - 1,
  holiday[Holiday]
)</f>
        <v>46076</v>
      </c>
      <c r="F9" s="2"/>
      <c r="G9" s="2"/>
    </row>
    <row r="10" spans="1:15" x14ac:dyDescent="0.25">
      <c r="A10" t="s">
        <v>7</v>
      </c>
      <c r="B10" t="s">
        <v>10</v>
      </c>
      <c r="C10" s="3" t="b">
        <v>0</v>
      </c>
      <c r="D10" t="str" cm="1">
        <f t="array" aca="1" ref="D10" ca="1">_xlfn.IFS(Tasks[[#This Row],[Status]],"Complete", Tasks[[#This Row],[Due Date]] - TODAY() &lt;=7, "High", Tasks[[#This Row],[Due Date]] - TODAY() &lt;=14, "Medium", TRUE, "Low")</f>
        <v>High</v>
      </c>
      <c r="E10" s="2">
        <f>WORKDAY($B$3,
  _xlfn.XLOOKUP(Tasks[[#This Row],[Task Group]], tblPlan[Task Group], tblPlan[Cumulative Days]) - 1,
  holiday[Holiday]
)</f>
        <v>46076</v>
      </c>
      <c r="F10" s="2"/>
      <c r="G10" s="2"/>
    </row>
    <row r="11" spans="1:15" x14ac:dyDescent="0.25">
      <c r="A11" t="s">
        <v>7</v>
      </c>
      <c r="B11" t="s">
        <v>11</v>
      </c>
      <c r="C11" s="3" t="b">
        <v>0</v>
      </c>
      <c r="D11" t="str" cm="1">
        <f t="array" aca="1" ref="D11" ca="1">_xlfn.IFS(Tasks[[#This Row],[Status]],"Complete", Tasks[[#This Row],[Due Date]] - TODAY() &lt;=7, "High", Tasks[[#This Row],[Due Date]] - TODAY() &lt;=14, "Medium", TRUE, "Low")</f>
        <v>High</v>
      </c>
      <c r="E11" s="2">
        <f>WORKDAY($B$3,
  _xlfn.XLOOKUP(Tasks[[#This Row],[Task Group]], tblPlan[Task Group], tblPlan[Cumulative Days]) - 1,
  holiday[Holiday]
)</f>
        <v>46076</v>
      </c>
      <c r="F11" s="2"/>
      <c r="G11" s="2"/>
      <c r="O11" s="2"/>
    </row>
    <row r="12" spans="1:15" x14ac:dyDescent="0.25">
      <c r="A12" t="s">
        <v>12</v>
      </c>
      <c r="B12" t="s">
        <v>13</v>
      </c>
      <c r="C12" s="3" t="b">
        <v>0</v>
      </c>
      <c r="D12" t="str" cm="1">
        <f t="array" aca="1" ref="D12" ca="1">_xlfn.IFS(Tasks[[#This Row],[Status]],"Complete", Tasks[[#This Row],[Due Date]] - TODAY() &lt;=7, "High", Tasks[[#This Row],[Due Date]] - TODAY() &lt;=14, "Medium", TRUE, "Low")</f>
        <v>High</v>
      </c>
      <c r="E12" s="2">
        <f>WORKDAY($B$3,
  _xlfn.XLOOKUP(Tasks[[#This Row],[Task Group]], tblPlan[Task Group], tblPlan[Cumulative Days]) - 1,
  holiday[Holiday]
)</f>
        <v>46078</v>
      </c>
      <c r="F12" s="2"/>
      <c r="G12" s="2"/>
    </row>
    <row r="13" spans="1:15" x14ac:dyDescent="0.25">
      <c r="A13" t="s">
        <v>12</v>
      </c>
      <c r="B13" t="s">
        <v>14</v>
      </c>
      <c r="C13" s="3" t="b">
        <v>0</v>
      </c>
      <c r="D13" t="str" cm="1">
        <f t="array" aca="1" ref="D13" ca="1">_xlfn.IFS(Tasks[[#This Row],[Status]],"Complete", Tasks[[#This Row],[Due Date]] - TODAY() &lt;=7, "High", Tasks[[#This Row],[Due Date]] - TODAY() &lt;=14, "Medium", TRUE, "Low")</f>
        <v>High</v>
      </c>
      <c r="E13" s="2">
        <f>WORKDAY($B$3,
  _xlfn.XLOOKUP(Tasks[[#This Row],[Task Group]], tblPlan[Task Group], tblPlan[Cumulative Days]) - 1,
  holiday[Holiday]
)</f>
        <v>46078</v>
      </c>
      <c r="F13" s="2"/>
      <c r="G13" s="2"/>
    </row>
    <row r="14" spans="1:15" x14ac:dyDescent="0.25">
      <c r="A14" t="s">
        <v>12</v>
      </c>
      <c r="B14" t="s">
        <v>15</v>
      </c>
      <c r="C14" s="3" t="b">
        <v>0</v>
      </c>
      <c r="D14" t="str" cm="1">
        <f t="array" aca="1" ref="D14" ca="1">_xlfn.IFS(Tasks[[#This Row],[Status]],"Complete", Tasks[[#This Row],[Due Date]] - TODAY() &lt;=7, "High", Tasks[[#This Row],[Due Date]] - TODAY() &lt;=14, "Medium", TRUE, "Low")</f>
        <v>High</v>
      </c>
      <c r="E14" s="2">
        <f>WORKDAY($B$3,
  _xlfn.XLOOKUP(Tasks[[#This Row],[Task Group]], tblPlan[Task Group], tblPlan[Cumulative Days]) - 1,
  holiday[Holiday]
)</f>
        <v>46078</v>
      </c>
      <c r="F14" s="2"/>
      <c r="G14" s="2"/>
    </row>
    <row r="15" spans="1:15" x14ac:dyDescent="0.25">
      <c r="A15" t="s">
        <v>12</v>
      </c>
      <c r="B15" t="s">
        <v>209</v>
      </c>
      <c r="C15" s="3" t="b">
        <v>0</v>
      </c>
      <c r="D15" t="str" cm="1">
        <f t="array" aca="1" ref="D15" ca="1">_xlfn.IFS(Tasks[[#This Row],[Status]],"Complete", Tasks[[#This Row],[Due Date]] - TODAY() &lt;=7, "High", Tasks[[#This Row],[Due Date]] - TODAY() &lt;=14, "Medium", TRUE, "Low")</f>
        <v>High</v>
      </c>
      <c r="E15" s="2">
        <f>WORKDAY($B$3,
  _xlfn.XLOOKUP(Tasks[[#This Row],[Task Group]], tblPlan[Task Group], tblPlan[Cumulative Days]) - 1,
  holiday[Holiday]
)</f>
        <v>46078</v>
      </c>
      <c r="F15" s="2"/>
      <c r="G15" s="2"/>
    </row>
    <row r="16" spans="1:15" x14ac:dyDescent="0.25">
      <c r="A16" t="s">
        <v>12</v>
      </c>
      <c r="B16" t="s">
        <v>16</v>
      </c>
      <c r="C16" s="3" t="b">
        <v>0</v>
      </c>
      <c r="D16" t="str" cm="1">
        <f t="array" aca="1" ref="D16" ca="1">_xlfn.IFS(Tasks[[#This Row],[Status]],"Complete", Tasks[[#This Row],[Due Date]] - TODAY() &lt;=7, "High", Tasks[[#This Row],[Due Date]] - TODAY() &lt;=14, "Medium", TRUE, "Low")</f>
        <v>High</v>
      </c>
      <c r="E16" s="2">
        <f>WORKDAY($B$3,
  _xlfn.XLOOKUP(Tasks[[#This Row],[Task Group]], tblPlan[Task Group], tblPlan[Cumulative Days]) - 1,
  holiday[Holiday]
)</f>
        <v>46078</v>
      </c>
      <c r="F16" s="2"/>
      <c r="G16" s="2"/>
    </row>
    <row r="17" spans="1:14" x14ac:dyDescent="0.25">
      <c r="A17" t="s">
        <v>200</v>
      </c>
      <c r="B17" t="s">
        <v>17</v>
      </c>
      <c r="C17" s="3" t="b">
        <v>0</v>
      </c>
      <c r="D17" t="str" cm="1">
        <f t="array" aca="1" ref="D17" ca="1">_xlfn.IFS(Tasks[[#This Row],[Status]],"Complete", Tasks[[#This Row],[Due Date]] - TODAY() &lt;=7, "High", Tasks[[#This Row],[Due Date]] - TODAY() &lt;=14, "Medium", TRUE, "Low")</f>
        <v>Medium</v>
      </c>
      <c r="E17" s="2">
        <f>WORKDAY($B$3,
  _xlfn.XLOOKUP(Tasks[[#This Row],[Task Group]], tblPlan[Task Group], tblPlan[Cumulative Days]) - 1,
  holiday[Holiday]
)</f>
        <v>46080</v>
      </c>
      <c r="F17" s="2"/>
      <c r="G17" s="2"/>
      <c r="N17" s="2"/>
    </row>
    <row r="18" spans="1:14" x14ac:dyDescent="0.25">
      <c r="A18" t="s">
        <v>200</v>
      </c>
      <c r="B18" t="s">
        <v>18</v>
      </c>
      <c r="C18" s="3" t="b">
        <v>0</v>
      </c>
      <c r="D18" t="str" cm="1">
        <f t="array" aca="1" ref="D18" ca="1">_xlfn.IFS(Tasks[[#This Row],[Status]],"Complete", Tasks[[#This Row],[Due Date]] - TODAY() &lt;=7, "High", Tasks[[#This Row],[Due Date]] - TODAY() &lt;=14, "Medium", TRUE, "Low")</f>
        <v>Medium</v>
      </c>
      <c r="E18" s="2">
        <f>WORKDAY($B$3,
  _xlfn.XLOOKUP(Tasks[[#This Row],[Task Group]], tblPlan[Task Group], tblPlan[Cumulative Days]) - 1,
  holiday[Holiday]
)</f>
        <v>46080</v>
      </c>
      <c r="F18" s="2"/>
      <c r="G18" s="2"/>
    </row>
    <row r="19" spans="1:14" x14ac:dyDescent="0.25">
      <c r="A19" t="s">
        <v>200</v>
      </c>
      <c r="B19" t="s">
        <v>19</v>
      </c>
      <c r="C19" s="3" t="b">
        <v>0</v>
      </c>
      <c r="D19" t="str" cm="1">
        <f t="array" aca="1" ref="D19" ca="1">_xlfn.IFS(Tasks[[#This Row],[Status]],"Complete", Tasks[[#This Row],[Due Date]] - TODAY() &lt;=7, "High", Tasks[[#This Row],[Due Date]] - TODAY() &lt;=14, "Medium", TRUE, "Low")</f>
        <v>Medium</v>
      </c>
      <c r="E19" s="2">
        <f>WORKDAY($B$3,
  _xlfn.XLOOKUP(Tasks[[#This Row],[Task Group]], tblPlan[Task Group], tblPlan[Cumulative Days]) - 1,
  holiday[Holiday]
)</f>
        <v>46080</v>
      </c>
      <c r="F19" s="2"/>
      <c r="G19" s="2"/>
    </row>
    <row r="20" spans="1:14" x14ac:dyDescent="0.25">
      <c r="A20" t="s">
        <v>200</v>
      </c>
      <c r="B20" t="s">
        <v>20</v>
      </c>
      <c r="C20" s="3" t="b">
        <v>0</v>
      </c>
      <c r="D20" t="str" cm="1">
        <f t="array" aca="1" ref="D20" ca="1">_xlfn.IFS(Tasks[[#This Row],[Status]],"Complete", Tasks[[#This Row],[Due Date]] - TODAY() &lt;=7, "High", Tasks[[#This Row],[Due Date]] - TODAY() &lt;=14, "Medium", TRUE, "Low")</f>
        <v>Medium</v>
      </c>
      <c r="E20" s="2">
        <f>WORKDAY($B$3,
  _xlfn.XLOOKUP(Tasks[[#This Row],[Task Group]], tblPlan[Task Group], tblPlan[Cumulative Days]) - 1,
  holiday[Holiday]
)</f>
        <v>46080</v>
      </c>
      <c r="F20" s="2"/>
      <c r="G20" s="2"/>
    </row>
    <row r="21" spans="1:14" x14ac:dyDescent="0.25">
      <c r="A21" t="s">
        <v>200</v>
      </c>
      <c r="B21" t="s">
        <v>21</v>
      </c>
      <c r="C21" s="3" t="b">
        <v>0</v>
      </c>
      <c r="D21" t="str" cm="1">
        <f t="array" aca="1" ref="D21" ca="1">_xlfn.IFS(Tasks[[#This Row],[Status]],"Complete", Tasks[[#This Row],[Due Date]] - TODAY() &lt;=7, "High", Tasks[[#This Row],[Due Date]] - TODAY() &lt;=14, "Medium", TRUE, "Low")</f>
        <v>Medium</v>
      </c>
      <c r="E21" s="2">
        <f>WORKDAY($B$3,
  _xlfn.XLOOKUP(Tasks[[#This Row],[Task Group]], tblPlan[Task Group], tblPlan[Cumulative Days]) - 1,
  holiday[Holiday]
)</f>
        <v>46080</v>
      </c>
      <c r="F21" s="2"/>
      <c r="G21" s="2"/>
    </row>
    <row r="22" spans="1:14" x14ac:dyDescent="0.25">
      <c r="A22" t="s">
        <v>200</v>
      </c>
      <c r="B22" t="s">
        <v>22</v>
      </c>
      <c r="C22" s="3" t="b">
        <v>0</v>
      </c>
      <c r="D22" t="str" cm="1">
        <f t="array" aca="1" ref="D22" ca="1">_xlfn.IFS(Tasks[[#This Row],[Status]],"Complete", Tasks[[#This Row],[Due Date]] - TODAY() &lt;=7, "High", Tasks[[#This Row],[Due Date]] - TODAY() &lt;=14, "Medium", TRUE, "Low")</f>
        <v>Medium</v>
      </c>
      <c r="E22" s="2">
        <f>WORKDAY($B$3,
  _xlfn.XLOOKUP(Tasks[[#This Row],[Task Group]], tblPlan[Task Group], tblPlan[Cumulative Days]) - 1,
  holiday[Holiday]
)</f>
        <v>46080</v>
      </c>
      <c r="F22" s="2"/>
      <c r="G22" s="2"/>
      <c r="N22" s="2"/>
    </row>
    <row r="23" spans="1:14" x14ac:dyDescent="0.25">
      <c r="A23" t="s">
        <v>23</v>
      </c>
      <c r="B23" t="s">
        <v>24</v>
      </c>
      <c r="C23" s="3" t="b">
        <v>0</v>
      </c>
      <c r="D23" t="str" cm="1">
        <f t="array" aca="1" ref="D23" ca="1">_xlfn.IFS(Tasks[[#This Row],[Status]],"Complete", Tasks[[#This Row],[Due Date]] - TODAY() &lt;=7, "High", Tasks[[#This Row],[Due Date]] - TODAY() &lt;=14, "Medium", TRUE, "Low")</f>
        <v>Medium</v>
      </c>
      <c r="E23" s="2">
        <f>WORKDAY($B$3,
  _xlfn.XLOOKUP(Tasks[[#This Row],[Task Group]], tblPlan[Task Group], tblPlan[Cumulative Days]) - 1,
  holiday[Holiday]
)</f>
        <v>46084</v>
      </c>
      <c r="F23" s="2"/>
      <c r="G23" s="2"/>
    </row>
    <row r="24" spans="1:14" x14ac:dyDescent="0.25">
      <c r="A24" t="s">
        <v>23</v>
      </c>
      <c r="B24" t="s">
        <v>25</v>
      </c>
      <c r="C24" s="3" t="b">
        <v>0</v>
      </c>
      <c r="D24" t="str" cm="1">
        <f t="array" aca="1" ref="D24" ca="1">_xlfn.IFS(Tasks[[#This Row],[Status]],"Complete", Tasks[[#This Row],[Due Date]] - TODAY() &lt;=7, "High", Tasks[[#This Row],[Due Date]] - TODAY() &lt;=14, "Medium", TRUE, "Low")</f>
        <v>Medium</v>
      </c>
      <c r="E24" s="2">
        <f>WORKDAY($B$3,
  _xlfn.XLOOKUP(Tasks[[#This Row],[Task Group]], tblPlan[Task Group], tblPlan[Cumulative Days]) - 1,
  holiday[Holiday]
)</f>
        <v>46084</v>
      </c>
      <c r="F24" s="2"/>
      <c r="G24" s="2"/>
    </row>
    <row r="25" spans="1:14" x14ac:dyDescent="0.25">
      <c r="A25" t="s">
        <v>23</v>
      </c>
      <c r="B25" t="s">
        <v>26</v>
      </c>
      <c r="C25" s="3" t="b">
        <v>0</v>
      </c>
      <c r="D25" t="str" cm="1">
        <f t="array" aca="1" ref="D25" ca="1">_xlfn.IFS(Tasks[[#This Row],[Status]],"Complete", Tasks[[#This Row],[Due Date]] - TODAY() &lt;=7, "High", Tasks[[#This Row],[Due Date]] - TODAY() &lt;=14, "Medium", TRUE, "Low")</f>
        <v>Medium</v>
      </c>
      <c r="E25" s="2">
        <f>WORKDAY($B$3,
  _xlfn.XLOOKUP(Tasks[[#This Row],[Task Group]], tblPlan[Task Group], tblPlan[Cumulative Days]) - 1,
  holiday[Holiday]
)</f>
        <v>46084</v>
      </c>
      <c r="F25" s="2"/>
      <c r="G25" s="2"/>
    </row>
    <row r="26" spans="1:14" x14ac:dyDescent="0.25">
      <c r="A26" t="s">
        <v>23</v>
      </c>
      <c r="B26" t="s">
        <v>27</v>
      </c>
      <c r="C26" s="3" t="b">
        <v>0</v>
      </c>
      <c r="D26" t="str" cm="1">
        <f t="array" aca="1" ref="D26" ca="1">_xlfn.IFS(Tasks[[#This Row],[Status]],"Complete", Tasks[[#This Row],[Due Date]] - TODAY() &lt;=7, "High", Tasks[[#This Row],[Due Date]] - TODAY() &lt;=14, "Medium", TRUE, "Low")</f>
        <v>Medium</v>
      </c>
      <c r="E26" s="2">
        <f>WORKDAY($B$3,
  _xlfn.XLOOKUP(Tasks[[#This Row],[Task Group]], tblPlan[Task Group], tblPlan[Cumulative Days]) - 1,
  holiday[Holiday]
)</f>
        <v>46084</v>
      </c>
      <c r="F26" s="2"/>
      <c r="G26" s="2"/>
    </row>
    <row r="27" spans="1:14" x14ac:dyDescent="0.25">
      <c r="A27" t="s">
        <v>28</v>
      </c>
      <c r="B27" t="s">
        <v>29</v>
      </c>
      <c r="C27" s="3" t="b">
        <v>0</v>
      </c>
      <c r="D27" t="str" cm="1">
        <f t="array" aca="1" ref="D27" ca="1">_xlfn.IFS(Tasks[[#This Row],[Status]],"Complete", Tasks[[#This Row],[Due Date]] - TODAY() &lt;=7, "High", Tasks[[#This Row],[Due Date]] - TODAY() &lt;=14, "Medium", TRUE, "Low")</f>
        <v>Medium</v>
      </c>
      <c r="E27" s="2">
        <f>WORKDAY($B$3,
  _xlfn.XLOOKUP(Tasks[[#This Row],[Task Group]], tblPlan[Task Group], tblPlan[Cumulative Days]) - 1,
  holiday[Holiday]
)</f>
        <v>46086</v>
      </c>
      <c r="F27" s="2"/>
      <c r="G27" s="2"/>
    </row>
    <row r="28" spans="1:14" x14ac:dyDescent="0.25">
      <c r="A28" t="s">
        <v>28</v>
      </c>
      <c r="B28" t="s">
        <v>30</v>
      </c>
      <c r="C28" s="3" t="b">
        <v>0</v>
      </c>
      <c r="D28" t="str" cm="1">
        <f t="array" aca="1" ref="D28" ca="1">_xlfn.IFS(Tasks[[#This Row],[Status]],"Complete", Tasks[[#This Row],[Due Date]] - TODAY() &lt;=7, "High", Tasks[[#This Row],[Due Date]] - TODAY() &lt;=14, "Medium", TRUE, "Low")</f>
        <v>Medium</v>
      </c>
      <c r="E28" s="2">
        <f>WORKDAY($B$3,
  _xlfn.XLOOKUP(Tasks[[#This Row],[Task Group]], tblPlan[Task Group], tblPlan[Cumulative Days]) - 1,
  holiday[Holiday]
)</f>
        <v>46086</v>
      </c>
      <c r="F28" s="2"/>
      <c r="G28" s="2"/>
    </row>
    <row r="29" spans="1:14" x14ac:dyDescent="0.25">
      <c r="A29" t="s">
        <v>28</v>
      </c>
      <c r="B29" t="s">
        <v>210</v>
      </c>
      <c r="C29" s="3" t="b">
        <v>0</v>
      </c>
      <c r="D29" t="str" cm="1">
        <f t="array" aca="1" ref="D29" ca="1">_xlfn.IFS(Tasks[[#This Row],[Status]],"Complete", Tasks[[#This Row],[Due Date]] - TODAY() &lt;=7, "High", Tasks[[#This Row],[Due Date]] - TODAY() &lt;=14, "Medium", TRUE, "Low")</f>
        <v>Medium</v>
      </c>
      <c r="E29" s="2">
        <f>WORKDAY($B$3,
  _xlfn.XLOOKUP(Tasks[[#This Row],[Task Group]], tblPlan[Task Group], tblPlan[Cumulative Days]) - 1,
  holiday[Holiday]
)</f>
        <v>46086</v>
      </c>
      <c r="F29" s="2"/>
      <c r="G29" s="2"/>
    </row>
    <row r="30" spans="1:14" x14ac:dyDescent="0.25">
      <c r="A30" t="s">
        <v>28</v>
      </c>
      <c r="B30" t="s">
        <v>31</v>
      </c>
      <c r="C30" s="3" t="b">
        <v>0</v>
      </c>
      <c r="D30" t="str" cm="1">
        <f t="array" aca="1" ref="D30" ca="1">_xlfn.IFS(Tasks[[#This Row],[Status]],"Complete", Tasks[[#This Row],[Due Date]] - TODAY() &lt;=7, "High", Tasks[[#This Row],[Due Date]] - TODAY() &lt;=14, "Medium", TRUE, "Low")</f>
        <v>Medium</v>
      </c>
      <c r="E30" s="2">
        <f>WORKDAY($B$3,
  _xlfn.XLOOKUP(Tasks[[#This Row],[Task Group]], tblPlan[Task Group], tblPlan[Cumulative Days]) - 1,
  holiday[Holiday]
)</f>
        <v>46086</v>
      </c>
      <c r="F30" s="2"/>
      <c r="G30" s="2"/>
    </row>
    <row r="31" spans="1:14" x14ac:dyDescent="0.25">
      <c r="A31" t="s">
        <v>28</v>
      </c>
      <c r="B31" t="s">
        <v>32</v>
      </c>
      <c r="C31" s="3" t="b">
        <v>0</v>
      </c>
      <c r="D31" t="str" cm="1">
        <f t="array" aca="1" ref="D31" ca="1">_xlfn.IFS(Tasks[[#This Row],[Status]],"Complete", Tasks[[#This Row],[Due Date]] - TODAY() &lt;=7, "High", Tasks[[#This Row],[Due Date]] - TODAY() &lt;=14, "Medium", TRUE, "Low")</f>
        <v>Medium</v>
      </c>
      <c r="E31" s="2">
        <f>WORKDAY($B$3,
  _xlfn.XLOOKUP(Tasks[[#This Row],[Task Group]], tblPlan[Task Group], tblPlan[Cumulative Days]) - 1,
  holiday[Holiday]
)</f>
        <v>46086</v>
      </c>
      <c r="F31" s="2"/>
      <c r="G31" s="2"/>
    </row>
    <row r="32" spans="1:14" x14ac:dyDescent="0.25">
      <c r="A32" t="s">
        <v>28</v>
      </c>
      <c r="B32" t="s">
        <v>33</v>
      </c>
      <c r="C32" s="3" t="b">
        <v>0</v>
      </c>
      <c r="D32" t="str" cm="1">
        <f t="array" aca="1" ref="D32" ca="1">_xlfn.IFS(Tasks[[#This Row],[Status]],"Complete", Tasks[[#This Row],[Due Date]] - TODAY() &lt;=7, "High", Tasks[[#This Row],[Due Date]] - TODAY() &lt;=14, "Medium", TRUE, "Low")</f>
        <v>Medium</v>
      </c>
      <c r="E32" s="2">
        <f>WORKDAY($B$3,
  _xlfn.XLOOKUP(Tasks[[#This Row],[Task Group]], tblPlan[Task Group], tblPlan[Cumulative Days]) - 1,
  holiday[Holiday]
)</f>
        <v>46086</v>
      </c>
      <c r="F32" s="2"/>
      <c r="G32" s="2"/>
    </row>
    <row r="33" spans="1:7" x14ac:dyDescent="0.25">
      <c r="A33" t="s">
        <v>28</v>
      </c>
      <c r="B33" t="s">
        <v>34</v>
      </c>
      <c r="C33" s="3" t="b">
        <v>0</v>
      </c>
      <c r="D33" t="str" cm="1">
        <f t="array" aca="1" ref="D33" ca="1">_xlfn.IFS(Tasks[[#This Row],[Status]],"Complete", Tasks[[#This Row],[Due Date]] - TODAY() &lt;=7, "High", Tasks[[#This Row],[Due Date]] - TODAY() &lt;=14, "Medium", TRUE, "Low")</f>
        <v>Medium</v>
      </c>
      <c r="E33" s="2">
        <f>WORKDAY($B$3,
  _xlfn.XLOOKUP(Tasks[[#This Row],[Task Group]], tblPlan[Task Group], tblPlan[Cumulative Days]) - 1,
  holiday[Holiday]
)</f>
        <v>46086</v>
      </c>
      <c r="F33" s="2"/>
      <c r="G33" s="2"/>
    </row>
    <row r="34" spans="1:7" x14ac:dyDescent="0.25">
      <c r="A34" t="s">
        <v>28</v>
      </c>
      <c r="B34" t="s">
        <v>35</v>
      </c>
      <c r="C34" s="3" t="b">
        <v>0</v>
      </c>
      <c r="D34" t="str" cm="1">
        <f t="array" aca="1" ref="D34" ca="1">_xlfn.IFS(Tasks[[#This Row],[Status]],"Complete", Tasks[[#This Row],[Due Date]] - TODAY() &lt;=7, "High", Tasks[[#This Row],[Due Date]] - TODAY() &lt;=14, "Medium", TRUE, "Low")</f>
        <v>Medium</v>
      </c>
      <c r="E34" s="2">
        <f>WORKDAY($B$3,
  _xlfn.XLOOKUP(Tasks[[#This Row],[Task Group]], tblPlan[Task Group], tblPlan[Cumulative Days]) - 1,
  holiday[Holiday]
)</f>
        <v>46086</v>
      </c>
      <c r="F34" s="2"/>
      <c r="G34" s="2"/>
    </row>
    <row r="35" spans="1:7" x14ac:dyDescent="0.25">
      <c r="A35" t="s">
        <v>28</v>
      </c>
      <c r="B35" t="s">
        <v>36</v>
      </c>
      <c r="C35" s="3" t="b">
        <v>0</v>
      </c>
      <c r="D35" t="str" cm="1">
        <f t="array" aca="1" ref="D35" ca="1">_xlfn.IFS(Tasks[[#This Row],[Status]],"Complete", Tasks[[#This Row],[Due Date]] - TODAY() &lt;=7, "High", Tasks[[#This Row],[Due Date]] - TODAY() &lt;=14, "Medium", TRUE, "Low")</f>
        <v>Medium</v>
      </c>
      <c r="E35" s="2">
        <f>WORKDAY($B$3,
  _xlfn.XLOOKUP(Tasks[[#This Row],[Task Group]], tblPlan[Task Group], tblPlan[Cumulative Days]) - 1,
  holiday[Holiday]
)</f>
        <v>46086</v>
      </c>
      <c r="F35" s="2"/>
      <c r="G35" s="2"/>
    </row>
    <row r="36" spans="1:7" x14ac:dyDescent="0.25">
      <c r="A36" t="s">
        <v>28</v>
      </c>
      <c r="B36" t="s">
        <v>37</v>
      </c>
      <c r="C36" s="3" t="b">
        <v>0</v>
      </c>
      <c r="D36" t="str" cm="1">
        <f t="array" aca="1" ref="D36" ca="1">_xlfn.IFS(Tasks[[#This Row],[Status]],"Complete", Tasks[[#This Row],[Due Date]] - TODAY() &lt;=7, "High", Tasks[[#This Row],[Due Date]] - TODAY() &lt;=14, "Medium", TRUE, "Low")</f>
        <v>Medium</v>
      </c>
      <c r="E36" s="2">
        <f>WORKDAY($B$3,
  _xlfn.XLOOKUP(Tasks[[#This Row],[Task Group]], tblPlan[Task Group], tblPlan[Cumulative Days]) - 1,
  holiday[Holiday]
)</f>
        <v>46086</v>
      </c>
      <c r="F36" s="2"/>
      <c r="G36" s="2"/>
    </row>
    <row r="37" spans="1:7" x14ac:dyDescent="0.25">
      <c r="A37" t="s">
        <v>38</v>
      </c>
      <c r="B37" t="s">
        <v>39</v>
      </c>
      <c r="C37" s="3" t="b">
        <v>0</v>
      </c>
      <c r="D37" t="str" cm="1">
        <f t="array" aca="1" ref="D37" ca="1">_xlfn.IFS(Tasks[[#This Row],[Status]],"Complete", Tasks[[#This Row],[Due Date]] - TODAY() &lt;=7, "High", Tasks[[#This Row],[Due Date]] - TODAY() &lt;=14, "Medium", TRUE, "Low")</f>
        <v>Low</v>
      </c>
      <c r="E37" s="2">
        <f>WORKDAY($B$3,
  _xlfn.XLOOKUP(Tasks[[#This Row],[Task Group]], tblPlan[Task Group], tblPlan[Cumulative Days]) - 1,
  holiday[Holiday]
)</f>
        <v>46090</v>
      </c>
      <c r="F37" s="2"/>
      <c r="G37" s="2"/>
    </row>
    <row r="38" spans="1:7" x14ac:dyDescent="0.25">
      <c r="A38" t="s">
        <v>38</v>
      </c>
      <c r="B38" t="s">
        <v>40</v>
      </c>
      <c r="C38" s="3" t="b">
        <v>0</v>
      </c>
      <c r="D38" t="str" cm="1">
        <f t="array" aca="1" ref="D38" ca="1">_xlfn.IFS(Tasks[[#This Row],[Status]],"Complete", Tasks[[#This Row],[Due Date]] - TODAY() &lt;=7, "High", Tasks[[#This Row],[Due Date]] - TODAY() &lt;=14, "Medium", TRUE, "Low")</f>
        <v>Low</v>
      </c>
      <c r="E38" s="2">
        <f>WORKDAY($B$3,
  _xlfn.XLOOKUP(Tasks[[#This Row],[Task Group]], tblPlan[Task Group], tblPlan[Cumulative Days]) - 1,
  holiday[Holiday]
)</f>
        <v>46090</v>
      </c>
      <c r="F38" s="2"/>
      <c r="G38" s="2"/>
    </row>
    <row r="39" spans="1:7" x14ac:dyDescent="0.25">
      <c r="A39" t="s">
        <v>38</v>
      </c>
      <c r="B39" t="s">
        <v>41</v>
      </c>
      <c r="C39" s="3" t="b">
        <v>0</v>
      </c>
      <c r="D39" t="str" cm="1">
        <f t="array" aca="1" ref="D39" ca="1">_xlfn.IFS(Tasks[[#This Row],[Status]],"Complete", Tasks[[#This Row],[Due Date]] - TODAY() &lt;=7, "High", Tasks[[#This Row],[Due Date]] - TODAY() &lt;=14, "Medium", TRUE, "Low")</f>
        <v>Low</v>
      </c>
      <c r="E39" s="2">
        <f>WORKDAY($B$3,
  _xlfn.XLOOKUP(Tasks[[#This Row],[Task Group]], tblPlan[Task Group], tblPlan[Cumulative Days]) - 1,
  holiday[Holiday]
)</f>
        <v>46090</v>
      </c>
      <c r="F39" s="2"/>
      <c r="G39" s="2"/>
    </row>
    <row r="40" spans="1:7" x14ac:dyDescent="0.25">
      <c r="A40" t="s">
        <v>38</v>
      </c>
      <c r="B40" t="s">
        <v>42</v>
      </c>
      <c r="C40" s="3" t="b">
        <v>0</v>
      </c>
      <c r="D40" t="str" cm="1">
        <f t="array" aca="1" ref="D40" ca="1">_xlfn.IFS(Tasks[[#This Row],[Status]],"Complete", Tasks[[#This Row],[Due Date]] - TODAY() &lt;=7, "High", Tasks[[#This Row],[Due Date]] - TODAY() &lt;=14, "Medium", TRUE, "Low")</f>
        <v>Low</v>
      </c>
      <c r="E40" s="2">
        <f>WORKDAY($B$3,
  _xlfn.XLOOKUP(Tasks[[#This Row],[Task Group]], tblPlan[Task Group], tblPlan[Cumulative Days]) - 1,
  holiday[Holiday]
)</f>
        <v>46090</v>
      </c>
      <c r="F40" s="2"/>
      <c r="G40" s="2"/>
    </row>
    <row r="41" spans="1:7" x14ac:dyDescent="0.25">
      <c r="A41" t="s">
        <v>38</v>
      </c>
      <c r="B41" t="s">
        <v>43</v>
      </c>
      <c r="C41" s="3" t="b">
        <v>0</v>
      </c>
      <c r="D41" t="str" cm="1">
        <f t="array" aca="1" ref="D41" ca="1">_xlfn.IFS(Tasks[[#This Row],[Status]],"Complete", Tasks[[#This Row],[Due Date]] - TODAY() &lt;=7, "High", Tasks[[#This Row],[Due Date]] - TODAY() &lt;=14, "Medium", TRUE, "Low")</f>
        <v>Low</v>
      </c>
      <c r="E41" s="2">
        <f>WORKDAY($B$3,
  _xlfn.XLOOKUP(Tasks[[#This Row],[Task Group]], tblPlan[Task Group], tblPlan[Cumulative Days]) - 1,
  holiday[Holiday]
)</f>
        <v>46090</v>
      </c>
      <c r="F41" s="2"/>
      <c r="G41" s="2"/>
    </row>
    <row r="42" spans="1:7" x14ac:dyDescent="0.25">
      <c r="A42" t="s">
        <v>38</v>
      </c>
      <c r="B42" t="s">
        <v>97</v>
      </c>
      <c r="C42" s="3" t="b">
        <v>0</v>
      </c>
      <c r="D42" t="str" cm="1">
        <f t="array" aca="1" ref="D42" ca="1">_xlfn.IFS(Tasks[[#This Row],[Status]],"Complete", Tasks[[#This Row],[Due Date]] - TODAY() &lt;=7, "High", Tasks[[#This Row],[Due Date]] - TODAY() &lt;=14, "Medium", TRUE, "Low")</f>
        <v>Low</v>
      </c>
      <c r="E42" s="2">
        <f>WORKDAY($B$3,
  _xlfn.XLOOKUP(Tasks[[#This Row],[Task Group]], tblPlan[Task Group], tblPlan[Cumulative Days]) - 1,
  holiday[Holiday]
)</f>
        <v>46090</v>
      </c>
      <c r="F42" s="2"/>
      <c r="G42" s="2"/>
    </row>
    <row r="43" spans="1:7" x14ac:dyDescent="0.25">
      <c r="A43" t="s">
        <v>38</v>
      </c>
      <c r="B43" t="s">
        <v>44</v>
      </c>
      <c r="C43" s="3" t="b">
        <v>0</v>
      </c>
      <c r="D43" t="str" cm="1">
        <f t="array" aca="1" ref="D43" ca="1">_xlfn.IFS(Tasks[[#This Row],[Status]],"Complete", Tasks[[#This Row],[Due Date]] - TODAY() &lt;=7, "High", Tasks[[#This Row],[Due Date]] - TODAY() &lt;=14, "Medium", TRUE, "Low")</f>
        <v>Low</v>
      </c>
      <c r="E43" s="2">
        <f>WORKDAY($B$3,
  _xlfn.XLOOKUP(Tasks[[#This Row],[Task Group]], tblPlan[Task Group], tblPlan[Cumulative Days]) - 1,
  holiday[Holiday]
)</f>
        <v>46090</v>
      </c>
      <c r="F43" s="2"/>
      <c r="G43" s="2"/>
    </row>
    <row r="44" spans="1:7" x14ac:dyDescent="0.25">
      <c r="A44" t="s">
        <v>38</v>
      </c>
      <c r="B44" t="s">
        <v>45</v>
      </c>
      <c r="C44" s="3" t="b">
        <v>0</v>
      </c>
      <c r="D44" t="str" cm="1">
        <f t="array" aca="1" ref="D44" ca="1">_xlfn.IFS(Tasks[[#This Row],[Status]],"Complete", Tasks[[#This Row],[Due Date]] - TODAY() &lt;=7, "High", Tasks[[#This Row],[Due Date]] - TODAY() &lt;=14, "Medium", TRUE, "Low")</f>
        <v>Low</v>
      </c>
      <c r="E44" s="2">
        <f>WORKDAY($B$3,
  _xlfn.XLOOKUP(Tasks[[#This Row],[Task Group]], tblPlan[Task Group], tblPlan[Cumulative Days]) - 1,
  holiday[Holiday]
)</f>
        <v>46090</v>
      </c>
      <c r="F44" s="2"/>
      <c r="G44" s="2"/>
    </row>
    <row r="45" spans="1:7" x14ac:dyDescent="0.25">
      <c r="A45" t="s">
        <v>46</v>
      </c>
      <c r="B45" t="s">
        <v>47</v>
      </c>
      <c r="C45" s="3" t="b">
        <v>0</v>
      </c>
      <c r="D45" t="str" cm="1">
        <f t="array" aca="1" ref="D45" ca="1">_xlfn.IFS(Tasks[[#This Row],[Status]],"Complete", Tasks[[#This Row],[Due Date]] - TODAY() &lt;=7, "High", Tasks[[#This Row],[Due Date]] - TODAY() &lt;=14, "Medium", TRUE, "Low")</f>
        <v>Low</v>
      </c>
      <c r="E45" s="2">
        <f>WORKDAY($B$3,
  _xlfn.XLOOKUP(Tasks[[#This Row],[Task Group]], tblPlan[Task Group], tblPlan[Cumulative Days]) - 1,
  holiday[Holiday]
)</f>
        <v>46092</v>
      </c>
      <c r="F45" s="2"/>
      <c r="G45" s="2"/>
    </row>
    <row r="46" spans="1:7" x14ac:dyDescent="0.25">
      <c r="A46" t="s">
        <v>46</v>
      </c>
      <c r="B46" t="s">
        <v>48</v>
      </c>
      <c r="C46" s="3" t="b">
        <v>0</v>
      </c>
      <c r="D46" t="str" cm="1">
        <f t="array" aca="1" ref="D46" ca="1">_xlfn.IFS(Tasks[[#This Row],[Status]],"Complete", Tasks[[#This Row],[Due Date]] - TODAY() &lt;=7, "High", Tasks[[#This Row],[Due Date]] - TODAY() &lt;=14, "Medium", TRUE, "Low")</f>
        <v>Low</v>
      </c>
      <c r="E46" s="2">
        <f>WORKDAY($B$3,
  _xlfn.XLOOKUP(Tasks[[#This Row],[Task Group]], tblPlan[Task Group], tblPlan[Cumulative Days]) - 1,
  holiday[Holiday]
)</f>
        <v>46092</v>
      </c>
      <c r="F46" s="2"/>
      <c r="G46" s="2"/>
    </row>
    <row r="47" spans="1:7" x14ac:dyDescent="0.25">
      <c r="A47" t="s">
        <v>46</v>
      </c>
      <c r="B47" t="s">
        <v>49</v>
      </c>
      <c r="C47" s="3" t="b">
        <v>0</v>
      </c>
      <c r="D47" t="str" cm="1">
        <f t="array" aca="1" ref="D47" ca="1">_xlfn.IFS(Tasks[[#This Row],[Status]],"Complete", Tasks[[#This Row],[Due Date]] - TODAY() &lt;=7, "High", Tasks[[#This Row],[Due Date]] - TODAY() &lt;=14, "Medium", TRUE, "Low")</f>
        <v>Low</v>
      </c>
      <c r="E47" s="2">
        <f>WORKDAY($B$3,
  _xlfn.XLOOKUP(Tasks[[#This Row],[Task Group]], tblPlan[Task Group], tblPlan[Cumulative Days]) - 1,
  holiday[Holiday]
)</f>
        <v>46092</v>
      </c>
      <c r="F47" s="2"/>
      <c r="G47" s="2"/>
    </row>
    <row r="48" spans="1:7" x14ac:dyDescent="0.25">
      <c r="A48" t="s">
        <v>46</v>
      </c>
      <c r="B48" t="s">
        <v>50</v>
      </c>
      <c r="C48" s="3" t="b">
        <v>0</v>
      </c>
      <c r="D48" t="str" cm="1">
        <f t="array" aca="1" ref="D48" ca="1">_xlfn.IFS(Tasks[[#This Row],[Status]],"Complete", Tasks[[#This Row],[Due Date]] - TODAY() &lt;=7, "High", Tasks[[#This Row],[Due Date]] - TODAY() &lt;=14, "Medium", TRUE, "Low")</f>
        <v>Low</v>
      </c>
      <c r="E48" s="2">
        <f>WORKDAY($B$3,
  _xlfn.XLOOKUP(Tasks[[#This Row],[Task Group]], tblPlan[Task Group], tblPlan[Cumulative Days]) - 1,
  holiday[Holiday]
)</f>
        <v>46092</v>
      </c>
      <c r="F48" s="2"/>
      <c r="G48" s="2"/>
    </row>
    <row r="49" spans="1:7" x14ac:dyDescent="0.25">
      <c r="A49" t="s">
        <v>46</v>
      </c>
      <c r="B49" t="s">
        <v>51</v>
      </c>
      <c r="C49" s="3" t="b">
        <v>0</v>
      </c>
      <c r="D49" t="str" cm="1">
        <f t="array" aca="1" ref="D49" ca="1">_xlfn.IFS(Tasks[[#This Row],[Status]],"Complete", Tasks[[#This Row],[Due Date]] - TODAY() &lt;=7, "High", Tasks[[#This Row],[Due Date]] - TODAY() &lt;=14, "Medium", TRUE, "Low")</f>
        <v>Low</v>
      </c>
      <c r="E49" s="2">
        <f>WORKDAY($B$3,
  _xlfn.XLOOKUP(Tasks[[#This Row],[Task Group]], tblPlan[Task Group], tblPlan[Cumulative Days]) - 1,
  holiday[Holiday]
)</f>
        <v>46092</v>
      </c>
      <c r="F49" s="2"/>
      <c r="G49" s="2"/>
    </row>
    <row r="50" spans="1:7" x14ac:dyDescent="0.25">
      <c r="A50" t="s">
        <v>46</v>
      </c>
      <c r="B50" t="s">
        <v>52</v>
      </c>
      <c r="C50" s="3" t="b">
        <v>0</v>
      </c>
      <c r="D50" t="str" cm="1">
        <f t="array" aca="1" ref="D50" ca="1">_xlfn.IFS(Tasks[[#This Row],[Status]],"Complete", Tasks[[#This Row],[Due Date]] - TODAY() &lt;=7, "High", Tasks[[#This Row],[Due Date]] - TODAY() &lt;=14, "Medium", TRUE, "Low")</f>
        <v>Low</v>
      </c>
      <c r="E50" s="2">
        <f>WORKDAY($B$3,
  _xlfn.XLOOKUP(Tasks[[#This Row],[Task Group]], tblPlan[Task Group], tblPlan[Cumulative Days]) - 1,
  holiday[Holiday]
)</f>
        <v>46092</v>
      </c>
      <c r="F50" s="2"/>
      <c r="G50" s="2"/>
    </row>
    <row r="51" spans="1:7" x14ac:dyDescent="0.25">
      <c r="A51" t="s">
        <v>46</v>
      </c>
      <c r="B51" t="s">
        <v>53</v>
      </c>
      <c r="C51" s="3" t="b">
        <v>0</v>
      </c>
      <c r="D51" t="str" cm="1">
        <f t="array" aca="1" ref="D51" ca="1">_xlfn.IFS(Tasks[[#This Row],[Status]],"Complete", Tasks[[#This Row],[Due Date]] - TODAY() &lt;=7, "High", Tasks[[#This Row],[Due Date]] - TODAY() &lt;=14, "Medium", TRUE, "Low")</f>
        <v>Low</v>
      </c>
      <c r="E51" s="2">
        <f>WORKDAY($B$3,
  _xlfn.XLOOKUP(Tasks[[#This Row],[Task Group]], tblPlan[Task Group], tblPlan[Cumulative Days]) - 1,
  holiday[Holiday]
)</f>
        <v>46092</v>
      </c>
      <c r="F51" s="2"/>
      <c r="G51" s="2"/>
    </row>
    <row r="52" spans="1:7" x14ac:dyDescent="0.25">
      <c r="A52" t="s">
        <v>46</v>
      </c>
      <c r="B52" t="s">
        <v>54</v>
      </c>
      <c r="C52" s="3" t="b">
        <v>0</v>
      </c>
      <c r="D52" t="str" cm="1">
        <f t="array" aca="1" ref="D52" ca="1">_xlfn.IFS(Tasks[[#This Row],[Status]],"Complete", Tasks[[#This Row],[Due Date]] - TODAY() &lt;=7, "High", Tasks[[#This Row],[Due Date]] - TODAY() &lt;=14, "Medium", TRUE, "Low")</f>
        <v>Low</v>
      </c>
      <c r="E52" s="2">
        <f>WORKDAY($B$3,
  _xlfn.XLOOKUP(Tasks[[#This Row],[Task Group]], tblPlan[Task Group], tblPlan[Cumulative Days]) - 1,
  holiday[Holiday]
)</f>
        <v>46092</v>
      </c>
      <c r="F52" s="2"/>
      <c r="G52" s="2"/>
    </row>
    <row r="53" spans="1:7" x14ac:dyDescent="0.25">
      <c r="A53" t="s">
        <v>55</v>
      </c>
      <c r="B53" t="s">
        <v>56</v>
      </c>
      <c r="C53" s="3" t="b">
        <v>0</v>
      </c>
      <c r="D53" t="str" cm="1">
        <f t="array" aca="1" ref="D53" ca="1">_xlfn.IFS(Tasks[[#This Row],[Status]],"Complete", Tasks[[#This Row],[Due Date]] - TODAY() &lt;=7, "High", Tasks[[#This Row],[Due Date]] - TODAY() &lt;=14, "Medium", TRUE, "Low")</f>
        <v>Low</v>
      </c>
      <c r="E53" s="2">
        <f>WORKDAY($B$3,
  _xlfn.XLOOKUP(Tasks[[#This Row],[Task Group]], tblPlan[Task Group], tblPlan[Cumulative Days]) - 1,
  holiday[Holiday]
)</f>
        <v>46094</v>
      </c>
      <c r="F53" s="2"/>
      <c r="G53" s="2"/>
    </row>
    <row r="54" spans="1:7" x14ac:dyDescent="0.25">
      <c r="A54" t="s">
        <v>55</v>
      </c>
      <c r="B54" t="s">
        <v>57</v>
      </c>
      <c r="C54" s="3" t="b">
        <v>0</v>
      </c>
      <c r="D54" t="str" cm="1">
        <f t="array" aca="1" ref="D54" ca="1">_xlfn.IFS(Tasks[[#This Row],[Status]],"Complete", Tasks[[#This Row],[Due Date]] - TODAY() &lt;=7, "High", Tasks[[#This Row],[Due Date]] - TODAY() &lt;=14, "Medium", TRUE, "Low")</f>
        <v>Low</v>
      </c>
      <c r="E54" s="2">
        <f>WORKDAY($B$3,
  _xlfn.XLOOKUP(Tasks[[#This Row],[Task Group]], tblPlan[Task Group], tblPlan[Cumulative Days]) - 1,
  holiday[Holiday]
)</f>
        <v>46094</v>
      </c>
      <c r="F54" s="2"/>
      <c r="G54" s="2"/>
    </row>
    <row r="55" spans="1:7" x14ac:dyDescent="0.25">
      <c r="A55" t="s">
        <v>55</v>
      </c>
      <c r="B55" t="s">
        <v>58</v>
      </c>
      <c r="C55" s="3" t="b">
        <v>0</v>
      </c>
      <c r="D55" t="str" cm="1">
        <f t="array" aca="1" ref="D55" ca="1">_xlfn.IFS(Tasks[[#This Row],[Status]],"Complete", Tasks[[#This Row],[Due Date]] - TODAY() &lt;=7, "High", Tasks[[#This Row],[Due Date]] - TODAY() &lt;=14, "Medium", TRUE, "Low")</f>
        <v>Low</v>
      </c>
      <c r="E55" s="2">
        <f>WORKDAY($B$3,
  _xlfn.XLOOKUP(Tasks[[#This Row],[Task Group]], tblPlan[Task Group], tblPlan[Cumulative Days]) - 1,
  holiday[Holiday]
)</f>
        <v>46094</v>
      </c>
      <c r="F55" s="2"/>
      <c r="G55" s="2"/>
    </row>
    <row r="56" spans="1:7" x14ac:dyDescent="0.25">
      <c r="A56" t="s">
        <v>55</v>
      </c>
      <c r="B56" t="s">
        <v>59</v>
      </c>
      <c r="C56" s="3" t="b">
        <v>0</v>
      </c>
      <c r="D56" t="str" cm="1">
        <f t="array" aca="1" ref="D56" ca="1">_xlfn.IFS(Tasks[[#This Row],[Status]],"Complete", Tasks[[#This Row],[Due Date]] - TODAY() &lt;=7, "High", Tasks[[#This Row],[Due Date]] - TODAY() &lt;=14, "Medium", TRUE, "Low")</f>
        <v>Low</v>
      </c>
      <c r="E56" s="2">
        <f>WORKDAY($B$3,
  _xlfn.XLOOKUP(Tasks[[#This Row],[Task Group]], tblPlan[Task Group], tblPlan[Cumulative Days]) - 1,
  holiday[Holiday]
)</f>
        <v>46094</v>
      </c>
      <c r="F56" s="2"/>
      <c r="G56" s="2"/>
    </row>
    <row r="57" spans="1:7" x14ac:dyDescent="0.25">
      <c r="A57" t="s">
        <v>55</v>
      </c>
      <c r="B57" t="s">
        <v>60</v>
      </c>
      <c r="C57" s="3" t="b">
        <v>0</v>
      </c>
      <c r="D57" t="str" cm="1">
        <f t="array" aca="1" ref="D57" ca="1">_xlfn.IFS(Tasks[[#This Row],[Status]],"Complete", Tasks[[#This Row],[Due Date]] - TODAY() &lt;=7, "High", Tasks[[#This Row],[Due Date]] - TODAY() &lt;=14, "Medium", TRUE, "Low")</f>
        <v>Low</v>
      </c>
      <c r="E57" s="2">
        <f>WORKDAY($B$3,
  _xlfn.XLOOKUP(Tasks[[#This Row],[Task Group]], tblPlan[Task Group], tblPlan[Cumulative Days]) - 1,
  holiday[Holiday]
)</f>
        <v>46094</v>
      </c>
      <c r="F57" s="2"/>
      <c r="G57" s="2"/>
    </row>
    <row r="58" spans="1:7" x14ac:dyDescent="0.25">
      <c r="A58" t="s">
        <v>55</v>
      </c>
      <c r="B58" t="s">
        <v>61</v>
      </c>
      <c r="C58" s="3" t="b">
        <v>0</v>
      </c>
      <c r="D58" t="str" cm="1">
        <f t="array" aca="1" ref="D58" ca="1">_xlfn.IFS(Tasks[[#This Row],[Status]],"Complete", Tasks[[#This Row],[Due Date]] - TODAY() &lt;=7, "High", Tasks[[#This Row],[Due Date]] - TODAY() &lt;=14, "Medium", TRUE, "Low")</f>
        <v>Low</v>
      </c>
      <c r="E58" s="2">
        <f>WORKDAY($B$3,
  _xlfn.XLOOKUP(Tasks[[#This Row],[Task Group]], tblPlan[Task Group], tblPlan[Cumulative Days]) - 1,
  holiday[Holiday]
)</f>
        <v>46094</v>
      </c>
      <c r="F58" s="2"/>
      <c r="G58" s="2"/>
    </row>
    <row r="59" spans="1:7" x14ac:dyDescent="0.25">
      <c r="A59" t="s">
        <v>55</v>
      </c>
      <c r="B59" t="s">
        <v>62</v>
      </c>
      <c r="C59" s="3" t="b">
        <v>0</v>
      </c>
      <c r="D59" t="str" cm="1">
        <f t="array" aca="1" ref="D59" ca="1">_xlfn.IFS(Tasks[[#This Row],[Status]],"Complete", Tasks[[#This Row],[Due Date]] - TODAY() &lt;=7, "High", Tasks[[#This Row],[Due Date]] - TODAY() &lt;=14, "Medium", TRUE, "Low")</f>
        <v>Low</v>
      </c>
      <c r="E59" s="2">
        <f>WORKDAY($B$3,
  _xlfn.XLOOKUP(Tasks[[#This Row],[Task Group]], tblPlan[Task Group], tblPlan[Cumulative Days]) - 1,
  holiday[Holiday]
)</f>
        <v>46094</v>
      </c>
      <c r="F59" s="2"/>
      <c r="G59" s="2"/>
    </row>
    <row r="60" spans="1:7" x14ac:dyDescent="0.25">
      <c r="A60" t="s">
        <v>63</v>
      </c>
      <c r="B60" t="s">
        <v>64</v>
      </c>
      <c r="C60" s="3" t="b">
        <v>0</v>
      </c>
      <c r="D60" t="str" cm="1">
        <f t="array" aca="1" ref="D60" ca="1">_xlfn.IFS(Tasks[[#This Row],[Status]],"Complete", Tasks[[#This Row],[Due Date]] - TODAY() &lt;=7, "High", Tasks[[#This Row],[Due Date]] - TODAY() &lt;=14, "Medium", TRUE, "Low")</f>
        <v>Low</v>
      </c>
      <c r="E60" s="2">
        <f>WORKDAY($B$3,
  _xlfn.XLOOKUP(Tasks[[#This Row],[Task Group]], tblPlan[Task Group], tblPlan[Cumulative Days]) - 1,
  holiday[Holiday]
)</f>
        <v>46098</v>
      </c>
      <c r="F60" s="2"/>
      <c r="G60" s="2"/>
    </row>
    <row r="61" spans="1:7" x14ac:dyDescent="0.25">
      <c r="A61" t="s">
        <v>63</v>
      </c>
      <c r="B61" t="s">
        <v>65</v>
      </c>
      <c r="C61" s="3" t="b">
        <v>0</v>
      </c>
      <c r="D61" t="str" cm="1">
        <f t="array" aca="1" ref="D61" ca="1">_xlfn.IFS(Tasks[[#This Row],[Status]],"Complete", Tasks[[#This Row],[Due Date]] - TODAY() &lt;=7, "High", Tasks[[#This Row],[Due Date]] - TODAY() &lt;=14, "Medium", TRUE, "Low")</f>
        <v>Low</v>
      </c>
      <c r="E61" s="2">
        <f>WORKDAY($B$3,
  _xlfn.XLOOKUP(Tasks[[#This Row],[Task Group]], tblPlan[Task Group], tblPlan[Cumulative Days]) - 1,
  holiday[Holiday]
)</f>
        <v>46098</v>
      </c>
      <c r="F61" s="2"/>
      <c r="G61" s="2"/>
    </row>
    <row r="62" spans="1:7" x14ac:dyDescent="0.25">
      <c r="A62" t="s">
        <v>63</v>
      </c>
      <c r="B62" t="s">
        <v>66</v>
      </c>
      <c r="C62" s="3" t="b">
        <v>0</v>
      </c>
      <c r="D62" t="str" cm="1">
        <f t="array" aca="1" ref="D62" ca="1">_xlfn.IFS(Tasks[[#This Row],[Status]],"Complete", Tasks[[#This Row],[Due Date]] - TODAY() &lt;=7, "High", Tasks[[#This Row],[Due Date]] - TODAY() &lt;=14, "Medium", TRUE, "Low")</f>
        <v>Low</v>
      </c>
      <c r="E62" s="2">
        <f>WORKDAY($B$3,
  _xlfn.XLOOKUP(Tasks[[#This Row],[Task Group]], tblPlan[Task Group], tblPlan[Cumulative Days]) - 1,
  holiday[Holiday]
)</f>
        <v>46098</v>
      </c>
      <c r="F62" s="2"/>
      <c r="G62" s="2"/>
    </row>
    <row r="63" spans="1:7" x14ac:dyDescent="0.25">
      <c r="A63" t="s">
        <v>63</v>
      </c>
      <c r="B63" t="s">
        <v>67</v>
      </c>
      <c r="C63" s="3" t="b">
        <v>0</v>
      </c>
      <c r="D63" t="str" cm="1">
        <f t="array" aca="1" ref="D63" ca="1">_xlfn.IFS(Tasks[[#This Row],[Status]],"Complete", Tasks[[#This Row],[Due Date]] - TODAY() &lt;=7, "High", Tasks[[#This Row],[Due Date]] - TODAY() &lt;=14, "Medium", TRUE, "Low")</f>
        <v>Low</v>
      </c>
      <c r="E63" s="2">
        <f>WORKDAY($B$3,
  _xlfn.XLOOKUP(Tasks[[#This Row],[Task Group]], tblPlan[Task Group], tblPlan[Cumulative Days]) - 1,
  holiday[Holiday]
)</f>
        <v>46098</v>
      </c>
      <c r="F63" s="2"/>
      <c r="G63" s="2"/>
    </row>
    <row r="64" spans="1:7" x14ac:dyDescent="0.25">
      <c r="A64" t="s">
        <v>63</v>
      </c>
      <c r="B64" t="s">
        <v>68</v>
      </c>
      <c r="C64" s="3" t="b">
        <v>0</v>
      </c>
      <c r="D64" t="str" cm="1">
        <f t="array" aca="1" ref="D64" ca="1">_xlfn.IFS(Tasks[[#This Row],[Status]],"Complete", Tasks[[#This Row],[Due Date]] - TODAY() &lt;=7, "High", Tasks[[#This Row],[Due Date]] - TODAY() &lt;=14, "Medium", TRUE, "Low")</f>
        <v>Low</v>
      </c>
      <c r="E64" s="2">
        <f>WORKDAY($B$3,
  _xlfn.XLOOKUP(Tasks[[#This Row],[Task Group]], tblPlan[Task Group], tblPlan[Cumulative Days]) - 1,
  holiday[Holiday]
)</f>
        <v>46098</v>
      </c>
      <c r="F64" s="2"/>
      <c r="G64" s="2"/>
    </row>
    <row r="65" spans="1:7" x14ac:dyDescent="0.25">
      <c r="A65" t="s">
        <v>63</v>
      </c>
      <c r="B65" t="s">
        <v>207</v>
      </c>
      <c r="C65" s="3" t="b">
        <v>0</v>
      </c>
      <c r="D65" t="str" cm="1">
        <f t="array" aca="1" ref="D65" ca="1">_xlfn.IFS(Tasks[[#This Row],[Status]],"Complete", Tasks[[#This Row],[Due Date]] - TODAY() &lt;=7, "High", Tasks[[#This Row],[Due Date]] - TODAY() &lt;=14, "Medium", TRUE, "Low")</f>
        <v>Low</v>
      </c>
      <c r="E65" s="2">
        <f>WORKDAY($B$3,
  _xlfn.XLOOKUP(Tasks[[#This Row],[Task Group]], tblPlan[Task Group], tblPlan[Cumulative Days]) - 1,
  holiday[Holiday]
)</f>
        <v>46098</v>
      </c>
      <c r="F65" s="2"/>
      <c r="G65" s="2"/>
    </row>
    <row r="66" spans="1:7" x14ac:dyDescent="0.25">
      <c r="A66" t="s">
        <v>69</v>
      </c>
      <c r="B66" t="s">
        <v>70</v>
      </c>
      <c r="C66" s="3" t="b">
        <v>0</v>
      </c>
      <c r="D66" t="str" cm="1">
        <f t="array" aca="1" ref="D66" ca="1">_xlfn.IFS(Tasks[[#This Row],[Status]],"Complete", Tasks[[#This Row],[Due Date]] - TODAY() &lt;=7, "High", Tasks[[#This Row],[Due Date]] - TODAY() &lt;=14, "Medium", TRUE, "Low")</f>
        <v>Low</v>
      </c>
      <c r="E66" s="2">
        <f>WORKDAY($B$3,
  _xlfn.XLOOKUP(Tasks[[#This Row],[Task Group]], tblPlan[Task Group], tblPlan[Cumulative Days]) - 1,
  holiday[Holiday]
)</f>
        <v>46100</v>
      </c>
      <c r="F66" s="2"/>
      <c r="G66" s="2"/>
    </row>
    <row r="67" spans="1:7" x14ac:dyDescent="0.25">
      <c r="A67" t="s">
        <v>69</v>
      </c>
      <c r="B67" t="s">
        <v>71</v>
      </c>
      <c r="C67" s="3" t="b">
        <v>0</v>
      </c>
      <c r="D67" t="str" cm="1">
        <f t="array" aca="1" ref="D67" ca="1">_xlfn.IFS(Tasks[[#This Row],[Status]],"Complete", Tasks[[#This Row],[Due Date]] - TODAY() &lt;=7, "High", Tasks[[#This Row],[Due Date]] - TODAY() &lt;=14, "Medium", TRUE, "Low")</f>
        <v>Low</v>
      </c>
      <c r="E67" s="2">
        <f>WORKDAY($B$3,
  _xlfn.XLOOKUP(Tasks[[#This Row],[Task Group]], tblPlan[Task Group], tblPlan[Cumulative Days]) - 1,
  holiday[Holiday]
)</f>
        <v>46100</v>
      </c>
      <c r="F67" s="2"/>
      <c r="G67" s="2"/>
    </row>
    <row r="68" spans="1:7" x14ac:dyDescent="0.25">
      <c r="A68" t="s">
        <v>69</v>
      </c>
      <c r="B68" t="s">
        <v>72</v>
      </c>
      <c r="C68" s="3" t="b">
        <v>0</v>
      </c>
      <c r="D68" t="str" cm="1">
        <f t="array" aca="1" ref="D68" ca="1">_xlfn.IFS(Tasks[[#This Row],[Status]],"Complete", Tasks[[#This Row],[Due Date]] - TODAY() &lt;=7, "High", Tasks[[#This Row],[Due Date]] - TODAY() &lt;=14, "Medium", TRUE, "Low")</f>
        <v>Low</v>
      </c>
      <c r="E68" s="2">
        <f>WORKDAY($B$3,
  _xlfn.XLOOKUP(Tasks[[#This Row],[Task Group]], tblPlan[Task Group], tblPlan[Cumulative Days]) - 1,
  holiday[Holiday]
)</f>
        <v>46100</v>
      </c>
      <c r="F68" s="2"/>
      <c r="G68" s="2"/>
    </row>
    <row r="69" spans="1:7" x14ac:dyDescent="0.25">
      <c r="A69" t="s">
        <v>69</v>
      </c>
      <c r="B69" t="s">
        <v>73</v>
      </c>
      <c r="C69" s="3" t="b">
        <v>0</v>
      </c>
      <c r="D69" t="str" cm="1">
        <f t="array" aca="1" ref="D69" ca="1">_xlfn.IFS(Tasks[[#This Row],[Status]],"Complete", Tasks[[#This Row],[Due Date]] - TODAY() &lt;=7, "High", Tasks[[#This Row],[Due Date]] - TODAY() &lt;=14, "Medium", TRUE, "Low")</f>
        <v>Low</v>
      </c>
      <c r="E69" s="2">
        <f>WORKDAY($B$3,
  _xlfn.XLOOKUP(Tasks[[#This Row],[Task Group]], tblPlan[Task Group], tblPlan[Cumulative Days]) - 1,
  holiday[Holiday]
)</f>
        <v>46100</v>
      </c>
      <c r="F69" s="2"/>
      <c r="G69" s="2"/>
    </row>
    <row r="70" spans="1:7" x14ac:dyDescent="0.25">
      <c r="A70" t="s">
        <v>69</v>
      </c>
      <c r="B70" t="s">
        <v>74</v>
      </c>
      <c r="C70" s="3" t="b">
        <v>0</v>
      </c>
      <c r="D70" t="str" cm="1">
        <f t="array" aca="1" ref="D70" ca="1">_xlfn.IFS(Tasks[[#This Row],[Status]],"Complete", Tasks[[#This Row],[Due Date]] - TODAY() &lt;=7, "High", Tasks[[#This Row],[Due Date]] - TODAY() &lt;=14, "Medium", TRUE, "Low")</f>
        <v>Low</v>
      </c>
      <c r="E70" s="2">
        <f>WORKDAY($B$3,
  _xlfn.XLOOKUP(Tasks[[#This Row],[Task Group]], tblPlan[Task Group], tblPlan[Cumulative Days]) - 1,
  holiday[Holiday]
)</f>
        <v>46100</v>
      </c>
      <c r="F70" s="2"/>
      <c r="G70" s="2"/>
    </row>
    <row r="71" spans="1:7" x14ac:dyDescent="0.25">
      <c r="A71" t="s">
        <v>69</v>
      </c>
      <c r="B71" t="s">
        <v>75</v>
      </c>
      <c r="C71" s="3" t="b">
        <v>0</v>
      </c>
      <c r="D71" t="str" cm="1">
        <f t="array" aca="1" ref="D71" ca="1">_xlfn.IFS(Tasks[[#This Row],[Status]],"Complete", Tasks[[#This Row],[Due Date]] - TODAY() &lt;=7, "High", Tasks[[#This Row],[Due Date]] - TODAY() &lt;=14, "Medium", TRUE, "Low")</f>
        <v>Low</v>
      </c>
      <c r="E71" s="2">
        <f>WORKDAY($B$3,
  _xlfn.XLOOKUP(Tasks[[#This Row],[Task Group]], tblPlan[Task Group], tblPlan[Cumulative Days]) - 1,
  holiday[Holiday]
)</f>
        <v>46100</v>
      </c>
      <c r="F71" s="2"/>
      <c r="G71" s="2"/>
    </row>
    <row r="72" spans="1:7" x14ac:dyDescent="0.25">
      <c r="A72" t="s">
        <v>76</v>
      </c>
      <c r="B72" t="s">
        <v>77</v>
      </c>
      <c r="C72" s="3" t="b">
        <v>0</v>
      </c>
      <c r="D72" t="str" cm="1">
        <f t="array" aca="1" ref="D72" ca="1">_xlfn.IFS(Tasks[[#This Row],[Status]],"Complete", Tasks[[#This Row],[Due Date]] - TODAY() &lt;=7, "High", Tasks[[#This Row],[Due Date]] - TODAY() &lt;=14, "Medium", TRUE, "Low")</f>
        <v>Low</v>
      </c>
      <c r="E72" s="2">
        <f>WORKDAY($B$3,
  _xlfn.XLOOKUP(Tasks[[#This Row],[Task Group]], tblPlan[Task Group], tblPlan[Cumulative Days]) - 1,
  holiday[Holiday]
)</f>
        <v>46104</v>
      </c>
      <c r="F72" s="2"/>
      <c r="G72" s="2"/>
    </row>
    <row r="73" spans="1:7" x14ac:dyDescent="0.25">
      <c r="A73" t="s">
        <v>76</v>
      </c>
      <c r="B73" t="s">
        <v>78</v>
      </c>
      <c r="C73" s="3" t="b">
        <v>0</v>
      </c>
      <c r="D73" t="str" cm="1">
        <f t="array" aca="1" ref="D73" ca="1">_xlfn.IFS(Tasks[[#This Row],[Status]],"Complete", Tasks[[#This Row],[Due Date]] - TODAY() &lt;=7, "High", Tasks[[#This Row],[Due Date]] - TODAY() &lt;=14, "Medium", TRUE, "Low")</f>
        <v>Low</v>
      </c>
      <c r="E73" s="2">
        <f>WORKDAY($B$3,
  _xlfn.XLOOKUP(Tasks[[#This Row],[Task Group]], tblPlan[Task Group], tblPlan[Cumulative Days]) - 1,
  holiday[Holiday]
)</f>
        <v>46104</v>
      </c>
      <c r="F73" s="2"/>
      <c r="G73" s="2"/>
    </row>
    <row r="74" spans="1:7" x14ac:dyDescent="0.25">
      <c r="A74" t="s">
        <v>76</v>
      </c>
      <c r="B74" t="s">
        <v>79</v>
      </c>
      <c r="C74" s="3" t="b">
        <v>0</v>
      </c>
      <c r="D74" t="str" cm="1">
        <f t="array" aca="1" ref="D74" ca="1">_xlfn.IFS(Tasks[[#This Row],[Status]],"Complete", Tasks[[#This Row],[Due Date]] - TODAY() &lt;=7, "High", Tasks[[#This Row],[Due Date]] - TODAY() &lt;=14, "Medium", TRUE, "Low")</f>
        <v>Low</v>
      </c>
      <c r="E74" s="2">
        <f>WORKDAY($B$3,
  _xlfn.XLOOKUP(Tasks[[#This Row],[Task Group]], tblPlan[Task Group], tblPlan[Cumulative Days]) - 1,
  holiday[Holiday]
)</f>
        <v>46104</v>
      </c>
      <c r="F74" s="2"/>
      <c r="G74" s="2"/>
    </row>
    <row r="75" spans="1:7" x14ac:dyDescent="0.25">
      <c r="A75" t="s">
        <v>76</v>
      </c>
      <c r="B75" t="s">
        <v>80</v>
      </c>
      <c r="C75" s="3" t="b">
        <v>0</v>
      </c>
      <c r="D75" t="str" cm="1">
        <f t="array" aca="1" ref="D75" ca="1">_xlfn.IFS(Tasks[[#This Row],[Status]],"Complete", Tasks[[#This Row],[Due Date]] - TODAY() &lt;=7, "High", Tasks[[#This Row],[Due Date]] - TODAY() &lt;=14, "Medium", TRUE, "Low")</f>
        <v>Low</v>
      </c>
      <c r="E75" s="2">
        <f>WORKDAY($B$3,
  _xlfn.XLOOKUP(Tasks[[#This Row],[Task Group]], tblPlan[Task Group], tblPlan[Cumulative Days]) - 1,
  holiday[Holiday]
)</f>
        <v>46104</v>
      </c>
      <c r="F75" s="2"/>
      <c r="G75" s="2"/>
    </row>
    <row r="76" spans="1:7" x14ac:dyDescent="0.25">
      <c r="A76" t="s">
        <v>76</v>
      </c>
      <c r="B76" t="s">
        <v>81</v>
      </c>
      <c r="C76" s="3" t="b">
        <v>0</v>
      </c>
      <c r="D76" t="str" cm="1">
        <f t="array" aca="1" ref="D76" ca="1">_xlfn.IFS(Tasks[[#This Row],[Status]],"Complete", Tasks[[#This Row],[Due Date]] - TODAY() &lt;=7, "High", Tasks[[#This Row],[Due Date]] - TODAY() &lt;=14, "Medium", TRUE, "Low")</f>
        <v>Low</v>
      </c>
      <c r="E76" s="2">
        <f>WORKDAY($B$3,
  _xlfn.XLOOKUP(Tasks[[#This Row],[Task Group]], tblPlan[Task Group], tblPlan[Cumulative Days]) - 1,
  holiday[Holiday]
)</f>
        <v>46104</v>
      </c>
      <c r="F76" s="2"/>
      <c r="G76" s="2"/>
    </row>
    <row r="77" spans="1:7" x14ac:dyDescent="0.25">
      <c r="A77" t="s">
        <v>82</v>
      </c>
      <c r="B77" t="s">
        <v>83</v>
      </c>
      <c r="C77" s="3" t="b">
        <v>0</v>
      </c>
      <c r="D77" t="str" cm="1">
        <f t="array" aca="1" ref="D77" ca="1">_xlfn.IFS(Tasks[[#This Row],[Status]],"Complete", Tasks[[#This Row],[Due Date]] - TODAY() &lt;=7, "High", Tasks[[#This Row],[Due Date]] - TODAY() &lt;=14, "Medium", TRUE, "Low")</f>
        <v>Low</v>
      </c>
      <c r="E77" s="2">
        <f>WORKDAY($B$3,
  _xlfn.XLOOKUP(Tasks[[#This Row],[Task Group]], tblPlan[Task Group], tblPlan[Cumulative Days]) - 1,
  holiday[Holiday]
)</f>
        <v>46106</v>
      </c>
      <c r="F77" s="2"/>
      <c r="G77" s="2"/>
    </row>
    <row r="78" spans="1:7" x14ac:dyDescent="0.25">
      <c r="A78" t="s">
        <v>82</v>
      </c>
      <c r="B78" t="s">
        <v>84</v>
      </c>
      <c r="C78" s="3" t="b">
        <v>0</v>
      </c>
      <c r="D78" t="str" cm="1">
        <f t="array" aca="1" ref="D78" ca="1">_xlfn.IFS(Tasks[[#This Row],[Status]],"Complete", Tasks[[#This Row],[Due Date]] - TODAY() &lt;=7, "High", Tasks[[#This Row],[Due Date]] - TODAY() &lt;=14, "Medium", TRUE, "Low")</f>
        <v>Low</v>
      </c>
      <c r="E78" s="2">
        <f>WORKDAY($B$3,
  _xlfn.XLOOKUP(Tasks[[#This Row],[Task Group]], tblPlan[Task Group], tblPlan[Cumulative Days]) - 1,
  holiday[Holiday]
)</f>
        <v>46106</v>
      </c>
      <c r="F78" s="2"/>
      <c r="G78" s="2"/>
    </row>
    <row r="79" spans="1:7" x14ac:dyDescent="0.25">
      <c r="A79" t="s">
        <v>82</v>
      </c>
      <c r="B79" t="s">
        <v>85</v>
      </c>
      <c r="C79" s="3" t="b">
        <v>0</v>
      </c>
      <c r="D79" t="str" cm="1">
        <f t="array" aca="1" ref="D79" ca="1">_xlfn.IFS(Tasks[[#This Row],[Status]],"Complete", Tasks[[#This Row],[Due Date]] - TODAY() &lt;=7, "High", Tasks[[#This Row],[Due Date]] - TODAY() &lt;=14, "Medium", TRUE, "Low")</f>
        <v>Low</v>
      </c>
      <c r="E79" s="2">
        <f>WORKDAY($B$3,
  _xlfn.XLOOKUP(Tasks[[#This Row],[Task Group]], tblPlan[Task Group], tblPlan[Cumulative Days]) - 1,
  holiday[Holiday]
)</f>
        <v>46106</v>
      </c>
      <c r="F79" s="2"/>
      <c r="G79" s="2"/>
    </row>
    <row r="80" spans="1:7" x14ac:dyDescent="0.25">
      <c r="A80" t="s">
        <v>82</v>
      </c>
      <c r="B80" t="s">
        <v>86</v>
      </c>
      <c r="C80" s="3" t="b">
        <v>0</v>
      </c>
      <c r="D80" t="str" cm="1">
        <f t="array" aca="1" ref="D80" ca="1">_xlfn.IFS(Tasks[[#This Row],[Status]],"Complete", Tasks[[#This Row],[Due Date]] - TODAY() &lt;=7, "High", Tasks[[#This Row],[Due Date]] - TODAY() &lt;=14, "Medium", TRUE, "Low")</f>
        <v>Low</v>
      </c>
      <c r="E80" s="2">
        <f>WORKDAY($B$3,
  _xlfn.XLOOKUP(Tasks[[#This Row],[Task Group]], tblPlan[Task Group], tblPlan[Cumulative Days]) - 1,
  holiday[Holiday]
)</f>
        <v>46106</v>
      </c>
      <c r="F80" s="2"/>
      <c r="G80" s="2"/>
    </row>
    <row r="81" spans="1:7" x14ac:dyDescent="0.25">
      <c r="A81" t="s">
        <v>82</v>
      </c>
      <c r="B81" t="s">
        <v>87</v>
      </c>
      <c r="C81" s="3" t="b">
        <v>0</v>
      </c>
      <c r="D81" t="str" cm="1">
        <f t="array" aca="1" ref="D81" ca="1">_xlfn.IFS(Tasks[[#This Row],[Status]],"Complete", Tasks[[#This Row],[Due Date]] - TODAY() &lt;=7, "High", Tasks[[#This Row],[Due Date]] - TODAY() &lt;=14, "Medium", TRUE, "Low")</f>
        <v>Low</v>
      </c>
      <c r="E81" s="2">
        <f>WORKDAY($B$3,
  _xlfn.XLOOKUP(Tasks[[#This Row],[Task Group]], tblPlan[Task Group], tblPlan[Cumulative Days]) - 1,
  holiday[Holiday]
)</f>
        <v>46106</v>
      </c>
      <c r="F81" s="2"/>
      <c r="G81" s="2"/>
    </row>
    <row r="82" spans="1:7" x14ac:dyDescent="0.25">
      <c r="A82" t="s">
        <v>88</v>
      </c>
      <c r="B82" t="s">
        <v>89</v>
      </c>
      <c r="C82" s="3" t="b">
        <v>0</v>
      </c>
      <c r="D82" t="str" cm="1">
        <f t="array" aca="1" ref="D82" ca="1">_xlfn.IFS(Tasks[[#This Row],[Status]],"Complete", Tasks[[#This Row],[Due Date]] - TODAY() &lt;=7, "High", Tasks[[#This Row],[Due Date]] - TODAY() &lt;=14, "Medium", TRUE, "Low")</f>
        <v>Low</v>
      </c>
      <c r="E82" s="2">
        <f>WORKDAY($B$3,
  _xlfn.XLOOKUP(Tasks[[#This Row],[Task Group]], tblPlan[Task Group], tblPlan[Cumulative Days]) - 1,
  holiday[Holiday]
)</f>
        <v>46108</v>
      </c>
      <c r="F82" s="2"/>
      <c r="G82" s="2"/>
    </row>
    <row r="83" spans="1:7" x14ac:dyDescent="0.25">
      <c r="A83" t="s">
        <v>88</v>
      </c>
      <c r="B83" t="s">
        <v>90</v>
      </c>
      <c r="C83" s="3" t="b">
        <v>0</v>
      </c>
      <c r="D83" t="str" cm="1">
        <f t="array" aca="1" ref="D83" ca="1">_xlfn.IFS(Tasks[[#This Row],[Status]],"Complete", Tasks[[#This Row],[Due Date]] - TODAY() &lt;=7, "High", Tasks[[#This Row],[Due Date]] - TODAY() &lt;=14, "Medium", TRUE, "Low")</f>
        <v>Low</v>
      </c>
      <c r="E83" s="2">
        <f>WORKDAY($B$3,
  _xlfn.XLOOKUP(Tasks[[#This Row],[Task Group]], tblPlan[Task Group], tblPlan[Cumulative Days]) - 1,
  holiday[Holiday]
)</f>
        <v>46108</v>
      </c>
      <c r="F83" s="2"/>
      <c r="G83" s="2"/>
    </row>
    <row r="84" spans="1:7" x14ac:dyDescent="0.25">
      <c r="A84" t="s">
        <v>88</v>
      </c>
      <c r="B84" t="s">
        <v>91</v>
      </c>
      <c r="C84" s="3" t="b">
        <v>0</v>
      </c>
      <c r="D84" t="str" cm="1">
        <f t="array" aca="1" ref="D84" ca="1">_xlfn.IFS(Tasks[[#This Row],[Status]],"Complete", Tasks[[#This Row],[Due Date]] - TODAY() &lt;=7, "High", Tasks[[#This Row],[Due Date]] - TODAY() &lt;=14, "Medium", TRUE, "Low")</f>
        <v>Low</v>
      </c>
      <c r="E84" s="2">
        <f>WORKDAY($B$3,
  _xlfn.XLOOKUP(Tasks[[#This Row],[Task Group]], tblPlan[Task Group], tblPlan[Cumulative Days]) - 1,
  holiday[Holiday]
)</f>
        <v>46108</v>
      </c>
      <c r="F84" s="2"/>
      <c r="G84" s="2"/>
    </row>
    <row r="85" spans="1:7" x14ac:dyDescent="0.25">
      <c r="A85" t="s">
        <v>88</v>
      </c>
      <c r="B85" t="s">
        <v>92</v>
      </c>
      <c r="C85" s="3" t="b">
        <v>0</v>
      </c>
      <c r="D85" t="str" cm="1">
        <f t="array" aca="1" ref="D85" ca="1">_xlfn.IFS(Tasks[[#This Row],[Status]],"Complete", Tasks[[#This Row],[Due Date]] - TODAY() &lt;=7, "High", Tasks[[#This Row],[Due Date]] - TODAY() &lt;=14, "Medium", TRUE, "Low")</f>
        <v>Low</v>
      </c>
      <c r="E85" s="2">
        <f>WORKDAY($B$3,
  _xlfn.XLOOKUP(Tasks[[#This Row],[Task Group]], tblPlan[Task Group], tblPlan[Cumulative Days]) - 1,
  holiday[Holiday]
)</f>
        <v>46108</v>
      </c>
      <c r="F85" s="2"/>
      <c r="G85" s="2"/>
    </row>
    <row r="86" spans="1:7" x14ac:dyDescent="0.25">
      <c r="A86" t="s">
        <v>88</v>
      </c>
      <c r="B86" t="s">
        <v>93</v>
      </c>
      <c r="C86" s="3" t="b">
        <v>0</v>
      </c>
      <c r="D86" t="str" cm="1">
        <f t="array" aca="1" ref="D86" ca="1">_xlfn.IFS(Tasks[[#This Row],[Status]],"Complete", Tasks[[#This Row],[Due Date]] - TODAY() &lt;=7, "High", Tasks[[#This Row],[Due Date]] - TODAY() &lt;=14, "Medium", TRUE, "Low")</f>
        <v>Low</v>
      </c>
      <c r="E86" s="2">
        <f>WORKDAY($B$3,
  _xlfn.XLOOKUP(Tasks[[#This Row],[Task Group]], tblPlan[Task Group], tblPlan[Cumulative Days]) - 1,
  holiday[Holiday]
)</f>
        <v>46108</v>
      </c>
      <c r="F86" s="2"/>
      <c r="G86" s="2"/>
    </row>
  </sheetData>
  <mergeCells count="1">
    <mergeCell ref="D3:E3"/>
  </mergeCells>
  <phoneticPr fontId="6" type="noConversion"/>
  <conditionalFormatting sqref="D7:D86">
    <cfRule type="containsText" dxfId="11" priority="3" operator="containsText" text="High">
      <formula>NOT(ISERROR(SEARCH("High",D7)))</formula>
    </cfRule>
    <cfRule type="containsText" dxfId="10" priority="4" operator="containsText" text="Medium">
      <formula>NOT(ISERROR(SEARCH("Medium",D7)))</formula>
    </cfRule>
    <cfRule type="containsText" dxfId="9" priority="5" operator="containsText" text="Low">
      <formula>NOT(ISERROR(SEARCH("Low",D7)))</formula>
    </cfRule>
  </conditionalFormatting>
  <conditionalFormatting sqref="E4:G4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{0C953B09-F150-4BCA-B288-FB157A2E92B6}</x14:id>
        </ext>
      </extLst>
    </cfRule>
  </conditionalFormatting>
  <pageMargins left="0.25" right="0.25" top="0.75" bottom="0.75" header="0.3" footer="0.3"/>
  <pageSetup scale="64" fitToHeight="0" orientation="landscape" horizontalDpi="0" verticalDpi="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953B09-F150-4BCA-B288-FB157A2E92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E4:G4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4AAC-CFBF-47A1-A34F-94EC455237BA}">
  <sheetPr codeName="Sheet2"/>
  <dimension ref="A1:D73"/>
  <sheetViews>
    <sheetView showGridLines="0" workbookViewId="0">
      <selection activeCell="D8" sqref="D8"/>
    </sheetView>
  </sheetViews>
  <sheetFormatPr defaultRowHeight="15" x14ac:dyDescent="0.25"/>
  <cols>
    <col min="1" max="1" width="19.140625" customWidth="1"/>
    <col min="2" max="2" width="68.28515625" customWidth="1"/>
    <col min="3" max="3" width="57.140625" bestFit="1" customWidth="1"/>
    <col min="4" max="4" width="62.42578125" customWidth="1"/>
  </cols>
  <sheetData>
    <row r="1" spans="1:4" x14ac:dyDescent="0.25">
      <c r="A1" s="1" t="s">
        <v>0</v>
      </c>
      <c r="B1" s="1" t="s">
        <v>98</v>
      </c>
      <c r="C1" s="1" t="s">
        <v>99</v>
      </c>
      <c r="D1" s="1" t="s">
        <v>100</v>
      </c>
    </row>
    <row r="2" spans="1:4" x14ac:dyDescent="0.25">
      <c r="A2" t="s">
        <v>170</v>
      </c>
      <c r="B2" s="11" t="s">
        <v>171</v>
      </c>
      <c r="C2" s="11" t="s">
        <v>172</v>
      </c>
      <c r="D2" s="11" t="s">
        <v>173</v>
      </c>
    </row>
    <row r="3" spans="1:4" ht="30" x14ac:dyDescent="0.25">
      <c r="A3" t="s">
        <v>152</v>
      </c>
      <c r="B3" s="11" t="s">
        <v>211</v>
      </c>
      <c r="C3" s="11" t="s">
        <v>153</v>
      </c>
      <c r="D3" s="11" t="s">
        <v>154</v>
      </c>
    </row>
    <row r="4" spans="1:4" x14ac:dyDescent="0.25">
      <c r="A4" t="s">
        <v>178</v>
      </c>
      <c r="B4" s="11" t="s">
        <v>179</v>
      </c>
      <c r="C4" s="11" t="s">
        <v>180</v>
      </c>
      <c r="D4" s="11"/>
    </row>
    <row r="5" spans="1:4" ht="30" x14ac:dyDescent="0.25">
      <c r="A5" t="s">
        <v>121</v>
      </c>
      <c r="B5" s="11" t="s">
        <v>212</v>
      </c>
      <c r="C5" s="11" t="s">
        <v>122</v>
      </c>
      <c r="D5" s="11" t="s">
        <v>123</v>
      </c>
    </row>
    <row r="6" spans="1:4" x14ac:dyDescent="0.25">
      <c r="A6" t="s">
        <v>162</v>
      </c>
      <c r="B6" s="11" t="s">
        <v>163</v>
      </c>
      <c r="C6" s="11" t="s">
        <v>164</v>
      </c>
      <c r="D6" s="11" t="s">
        <v>165</v>
      </c>
    </row>
    <row r="7" spans="1:4" x14ac:dyDescent="0.25">
      <c r="A7" t="s">
        <v>174</v>
      </c>
      <c r="B7" s="11" t="s">
        <v>175</v>
      </c>
      <c r="C7" s="11"/>
      <c r="D7" s="11"/>
    </row>
    <row r="8" spans="1:4" ht="30" x14ac:dyDescent="0.25">
      <c r="A8" t="s">
        <v>155</v>
      </c>
      <c r="B8" s="11" t="s">
        <v>156</v>
      </c>
      <c r="C8" s="11" t="s">
        <v>157</v>
      </c>
      <c r="D8" s="11" t="s">
        <v>158</v>
      </c>
    </row>
    <row r="9" spans="1:4" x14ac:dyDescent="0.25">
      <c r="A9" t="s">
        <v>181</v>
      </c>
      <c r="B9" s="11" t="s">
        <v>182</v>
      </c>
      <c r="C9" s="11"/>
      <c r="D9" s="11"/>
    </row>
    <row r="10" spans="1:4" x14ac:dyDescent="0.25">
      <c r="A10" t="s">
        <v>101</v>
      </c>
      <c r="B10" s="11" t="s">
        <v>102</v>
      </c>
      <c r="C10" s="11" t="s">
        <v>103</v>
      </c>
      <c r="D10" s="11" t="s">
        <v>104</v>
      </c>
    </row>
    <row r="11" spans="1:4" ht="30" x14ac:dyDescent="0.25">
      <c r="A11" t="s">
        <v>140</v>
      </c>
      <c r="B11" s="11" t="s">
        <v>141</v>
      </c>
      <c r="C11" s="11" t="s">
        <v>142</v>
      </c>
      <c r="D11" s="11" t="s">
        <v>143</v>
      </c>
    </row>
    <row r="12" spans="1:4" x14ac:dyDescent="0.25">
      <c r="A12" t="s">
        <v>144</v>
      </c>
      <c r="B12" s="11" t="s">
        <v>145</v>
      </c>
      <c r="C12" s="11" t="s">
        <v>146</v>
      </c>
      <c r="D12" s="11" t="s">
        <v>147</v>
      </c>
    </row>
    <row r="13" spans="1:4" ht="30" x14ac:dyDescent="0.25">
      <c r="A13" t="s">
        <v>124</v>
      </c>
      <c r="B13" s="11" t="s">
        <v>125</v>
      </c>
      <c r="C13" s="11" t="s">
        <v>126</v>
      </c>
      <c r="D13" s="11" t="s">
        <v>127</v>
      </c>
    </row>
    <row r="14" spans="1:4" ht="30" x14ac:dyDescent="0.25">
      <c r="A14" t="s">
        <v>166</v>
      </c>
      <c r="B14" s="11" t="s">
        <v>167</v>
      </c>
      <c r="C14" s="11" t="s">
        <v>168</v>
      </c>
      <c r="D14" s="11" t="s">
        <v>169</v>
      </c>
    </row>
    <row r="15" spans="1:4" ht="30" x14ac:dyDescent="0.25">
      <c r="A15" t="s">
        <v>136</v>
      </c>
      <c r="B15" s="11" t="s">
        <v>137</v>
      </c>
      <c r="C15" s="11" t="s">
        <v>138</v>
      </c>
      <c r="D15" s="11" t="s">
        <v>139</v>
      </c>
    </row>
    <row r="16" spans="1:4" x14ac:dyDescent="0.25">
      <c r="A16" t="s">
        <v>128</v>
      </c>
      <c r="B16" s="11" t="s">
        <v>129</v>
      </c>
      <c r="C16" s="11" t="s">
        <v>130</v>
      </c>
      <c r="D16" s="11" t="s">
        <v>131</v>
      </c>
    </row>
    <row r="17" spans="1:4" ht="30" x14ac:dyDescent="0.25">
      <c r="A17" t="s">
        <v>105</v>
      </c>
      <c r="B17" s="11" t="s">
        <v>106</v>
      </c>
      <c r="C17" s="11" t="s">
        <v>107</v>
      </c>
      <c r="D17" s="11" t="s">
        <v>108</v>
      </c>
    </row>
    <row r="18" spans="1:4" ht="30" x14ac:dyDescent="0.25">
      <c r="A18" t="s">
        <v>148</v>
      </c>
      <c r="B18" s="11" t="s">
        <v>149</v>
      </c>
      <c r="C18" s="11" t="s">
        <v>150</v>
      </c>
      <c r="D18" s="11" t="s">
        <v>151</v>
      </c>
    </row>
    <row r="19" spans="1:4" x14ac:dyDescent="0.25">
      <c r="A19" t="s">
        <v>113</v>
      </c>
      <c r="B19" s="11" t="s">
        <v>114</v>
      </c>
      <c r="C19" s="11" t="s">
        <v>115</v>
      </c>
      <c r="D19" s="11" t="s">
        <v>116</v>
      </c>
    </row>
    <row r="20" spans="1:4" ht="30" x14ac:dyDescent="0.25">
      <c r="A20" t="s">
        <v>109</v>
      </c>
      <c r="B20" s="11" t="s">
        <v>110</v>
      </c>
      <c r="C20" s="11" t="s">
        <v>111</v>
      </c>
      <c r="D20" s="11" t="s">
        <v>112</v>
      </c>
    </row>
    <row r="21" spans="1:4" x14ac:dyDescent="0.25">
      <c r="A21" t="s">
        <v>159</v>
      </c>
      <c r="B21" s="11" t="s">
        <v>160</v>
      </c>
      <c r="C21" s="11"/>
      <c r="D21" s="11" t="s">
        <v>161</v>
      </c>
    </row>
    <row r="22" spans="1:4" ht="30" x14ac:dyDescent="0.25">
      <c r="A22" t="s">
        <v>132</v>
      </c>
      <c r="B22" s="11" t="s">
        <v>133</v>
      </c>
      <c r="C22" s="11" t="s">
        <v>134</v>
      </c>
      <c r="D22" s="11" t="s">
        <v>135</v>
      </c>
    </row>
    <row r="23" spans="1:4" ht="30" x14ac:dyDescent="0.25">
      <c r="A23" t="s">
        <v>117</v>
      </c>
      <c r="B23" s="11" t="s">
        <v>118</v>
      </c>
      <c r="C23" s="11" t="s">
        <v>119</v>
      </c>
      <c r="D23" s="11" t="s">
        <v>120</v>
      </c>
    </row>
    <row r="24" spans="1:4" x14ac:dyDescent="0.25">
      <c r="A24" t="s">
        <v>176</v>
      </c>
      <c r="B24" s="11" t="s">
        <v>177</v>
      </c>
      <c r="C24" s="11"/>
      <c r="D24" s="11"/>
    </row>
    <row r="25" spans="1:4" x14ac:dyDescent="0.25">
      <c r="B25" s="11"/>
      <c r="C25" s="11"/>
      <c r="D25" s="11"/>
    </row>
    <row r="26" spans="1:4" x14ac:dyDescent="0.25">
      <c r="B26" s="11"/>
      <c r="C26" s="11"/>
      <c r="D26" s="11"/>
    </row>
    <row r="27" spans="1:4" x14ac:dyDescent="0.25">
      <c r="B27" s="11"/>
      <c r="C27" s="11"/>
      <c r="D27" s="11"/>
    </row>
    <row r="28" spans="1:4" x14ac:dyDescent="0.25">
      <c r="B28" s="11"/>
      <c r="C28" s="11"/>
      <c r="D28" s="11"/>
    </row>
    <row r="29" spans="1:4" x14ac:dyDescent="0.25">
      <c r="B29" s="11"/>
      <c r="C29" s="11"/>
      <c r="D29" s="11"/>
    </row>
    <row r="30" spans="1:4" x14ac:dyDescent="0.25">
      <c r="B30" s="11"/>
      <c r="C30" s="11"/>
      <c r="D30" s="11"/>
    </row>
    <row r="31" spans="1:4" x14ac:dyDescent="0.25">
      <c r="B31" s="11"/>
      <c r="C31" s="11"/>
      <c r="D31" s="11"/>
    </row>
    <row r="32" spans="1:4" x14ac:dyDescent="0.25">
      <c r="B32" s="11"/>
      <c r="C32" s="11"/>
      <c r="D32" s="11"/>
    </row>
    <row r="33" spans="2:4" x14ac:dyDescent="0.25">
      <c r="B33" s="11"/>
      <c r="C33" s="11"/>
      <c r="D33" s="11"/>
    </row>
    <row r="34" spans="2:4" x14ac:dyDescent="0.25">
      <c r="B34" s="11"/>
      <c r="C34" s="11"/>
      <c r="D34" s="11"/>
    </row>
    <row r="35" spans="2:4" x14ac:dyDescent="0.25">
      <c r="B35" s="11"/>
      <c r="C35" s="11"/>
      <c r="D35" s="11"/>
    </row>
    <row r="36" spans="2:4" x14ac:dyDescent="0.25">
      <c r="B36" s="11"/>
      <c r="C36" s="11"/>
      <c r="D36" s="11"/>
    </row>
    <row r="37" spans="2:4" x14ac:dyDescent="0.25">
      <c r="B37" s="11"/>
      <c r="C37" s="11"/>
      <c r="D37" s="11"/>
    </row>
    <row r="38" spans="2:4" x14ac:dyDescent="0.25">
      <c r="B38" s="11"/>
      <c r="C38" s="11"/>
      <c r="D38" s="11"/>
    </row>
    <row r="39" spans="2:4" x14ac:dyDescent="0.25">
      <c r="B39" s="11"/>
      <c r="C39" s="11"/>
      <c r="D39" s="11"/>
    </row>
    <row r="40" spans="2:4" x14ac:dyDescent="0.25">
      <c r="B40" s="11"/>
      <c r="C40" s="11"/>
      <c r="D40" s="11"/>
    </row>
    <row r="41" spans="2:4" x14ac:dyDescent="0.25">
      <c r="B41" s="11"/>
      <c r="C41" s="11"/>
      <c r="D41" s="11"/>
    </row>
    <row r="42" spans="2:4" x14ac:dyDescent="0.25">
      <c r="B42" s="11"/>
      <c r="C42" s="11"/>
      <c r="D42" s="11"/>
    </row>
    <row r="43" spans="2:4" x14ac:dyDescent="0.25">
      <c r="B43" s="11"/>
      <c r="C43" s="11"/>
      <c r="D43" s="11"/>
    </row>
    <row r="44" spans="2:4" x14ac:dyDescent="0.25">
      <c r="B44" s="11"/>
      <c r="C44" s="11"/>
      <c r="D44" s="11"/>
    </row>
    <row r="45" spans="2:4" x14ac:dyDescent="0.25">
      <c r="B45" s="11"/>
      <c r="C45" s="11"/>
      <c r="D45" s="11"/>
    </row>
    <row r="46" spans="2:4" x14ac:dyDescent="0.25">
      <c r="B46" s="11"/>
      <c r="C46" s="11"/>
      <c r="D46" s="11"/>
    </row>
    <row r="47" spans="2:4" x14ac:dyDescent="0.25">
      <c r="B47" s="11"/>
      <c r="C47" s="11"/>
      <c r="D47" s="11"/>
    </row>
    <row r="48" spans="2:4" x14ac:dyDescent="0.25">
      <c r="B48" s="11"/>
      <c r="C48" s="11"/>
      <c r="D48" s="11"/>
    </row>
    <row r="49" spans="2:4" x14ac:dyDescent="0.25">
      <c r="B49" s="11"/>
      <c r="C49" s="11"/>
      <c r="D49" s="11"/>
    </row>
    <row r="50" spans="2:4" x14ac:dyDescent="0.25">
      <c r="B50" s="11"/>
      <c r="C50" s="11"/>
      <c r="D50" s="11"/>
    </row>
    <row r="51" spans="2:4" x14ac:dyDescent="0.25">
      <c r="B51" s="11"/>
      <c r="C51" s="11"/>
      <c r="D51" s="11"/>
    </row>
    <row r="52" spans="2:4" x14ac:dyDescent="0.25">
      <c r="B52" s="11"/>
      <c r="C52" s="11"/>
      <c r="D52" s="11"/>
    </row>
    <row r="53" spans="2:4" x14ac:dyDescent="0.25">
      <c r="B53" s="11"/>
      <c r="C53" s="11"/>
      <c r="D53" s="11"/>
    </row>
    <row r="54" spans="2:4" x14ac:dyDescent="0.25">
      <c r="B54" s="11"/>
      <c r="C54" s="11"/>
      <c r="D54" s="11"/>
    </row>
    <row r="55" spans="2:4" x14ac:dyDescent="0.25">
      <c r="B55" s="11"/>
      <c r="C55" s="11"/>
      <c r="D55" s="11"/>
    </row>
    <row r="56" spans="2:4" x14ac:dyDescent="0.25">
      <c r="B56" s="11"/>
      <c r="C56" s="11"/>
      <c r="D56" s="11"/>
    </row>
    <row r="57" spans="2:4" x14ac:dyDescent="0.25">
      <c r="B57" s="11"/>
      <c r="C57" s="11"/>
      <c r="D57" s="11"/>
    </row>
    <row r="58" spans="2:4" x14ac:dyDescent="0.25">
      <c r="B58" s="11"/>
      <c r="C58" s="11"/>
      <c r="D58" s="11"/>
    </row>
    <row r="59" spans="2:4" x14ac:dyDescent="0.25">
      <c r="B59" s="11"/>
      <c r="C59" s="11"/>
      <c r="D59" s="11"/>
    </row>
    <row r="60" spans="2:4" x14ac:dyDescent="0.25">
      <c r="B60" s="11"/>
      <c r="C60" s="11"/>
      <c r="D60" s="11"/>
    </row>
    <row r="61" spans="2:4" x14ac:dyDescent="0.25">
      <c r="B61" s="11"/>
      <c r="C61" s="11"/>
      <c r="D61" s="11"/>
    </row>
    <row r="62" spans="2:4" x14ac:dyDescent="0.25">
      <c r="B62" s="11"/>
      <c r="C62" s="11"/>
      <c r="D62" s="11"/>
    </row>
    <row r="63" spans="2:4" x14ac:dyDescent="0.25">
      <c r="B63" s="11"/>
      <c r="C63" s="11"/>
      <c r="D63" s="11"/>
    </row>
    <row r="64" spans="2:4" x14ac:dyDescent="0.25">
      <c r="B64" s="11"/>
      <c r="C64" s="11"/>
      <c r="D64" s="11"/>
    </row>
    <row r="65" spans="2:4" x14ac:dyDescent="0.25">
      <c r="B65" s="11"/>
      <c r="C65" s="11"/>
      <c r="D65" s="11"/>
    </row>
    <row r="66" spans="2:4" x14ac:dyDescent="0.25">
      <c r="B66" s="11"/>
      <c r="C66" s="11"/>
      <c r="D66" s="11"/>
    </row>
    <row r="67" spans="2:4" x14ac:dyDescent="0.25">
      <c r="B67" s="11"/>
      <c r="C67" s="11"/>
      <c r="D67" s="11"/>
    </row>
    <row r="68" spans="2:4" x14ac:dyDescent="0.25">
      <c r="B68" s="11"/>
      <c r="C68" s="11"/>
      <c r="D68" s="11"/>
    </row>
    <row r="69" spans="2:4" x14ac:dyDescent="0.25">
      <c r="B69" s="11"/>
      <c r="C69" s="11"/>
      <c r="D69" s="11"/>
    </row>
    <row r="70" spans="2:4" x14ac:dyDescent="0.25">
      <c r="B70" s="11"/>
      <c r="C70" s="11"/>
      <c r="D70" s="11"/>
    </row>
    <row r="71" spans="2:4" x14ac:dyDescent="0.25">
      <c r="B71" s="11"/>
      <c r="C71" s="11"/>
      <c r="D71" s="11"/>
    </row>
    <row r="72" spans="2:4" x14ac:dyDescent="0.25">
      <c r="B72" s="11"/>
      <c r="C72" s="11"/>
      <c r="D72" s="11"/>
    </row>
    <row r="73" spans="2:4" x14ac:dyDescent="0.25">
      <c r="B73" s="11"/>
      <c r="C73" s="11"/>
      <c r="D73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7D7B-DD46-4AE9-A1B8-52CCA95D51A8}">
  <sheetPr codeName="Sheet3"/>
  <dimension ref="A1:G14"/>
  <sheetViews>
    <sheetView workbookViewId="0">
      <selection activeCell="F4" sqref="F4"/>
    </sheetView>
  </sheetViews>
  <sheetFormatPr defaultRowHeight="15" x14ac:dyDescent="0.25"/>
  <cols>
    <col min="1" max="1" width="11" customWidth="1"/>
    <col min="2" max="2" width="30.7109375" customWidth="1"/>
    <col min="4" max="4" width="33.5703125" customWidth="1"/>
    <col min="5" max="5" width="13" bestFit="1" customWidth="1"/>
    <col min="6" max="6" width="17.42578125" bestFit="1" customWidth="1"/>
    <col min="7" max="7" width="21" customWidth="1"/>
  </cols>
  <sheetData>
    <row r="1" spans="1:7" x14ac:dyDescent="0.25">
      <c r="A1" t="s">
        <v>206</v>
      </c>
      <c r="B1" t="s">
        <v>185</v>
      </c>
      <c r="D1" t="s">
        <v>95</v>
      </c>
      <c r="E1" t="s">
        <v>199</v>
      </c>
      <c r="F1" t="s">
        <v>204</v>
      </c>
      <c r="G1" t="s">
        <v>205</v>
      </c>
    </row>
    <row r="2" spans="1:7" x14ac:dyDescent="0.25">
      <c r="A2" s="2">
        <v>46023</v>
      </c>
      <c r="B2" s="2" t="s">
        <v>190</v>
      </c>
      <c r="D2" t="s">
        <v>7</v>
      </c>
      <c r="E2">
        <f>COUNTIF(Tasks[Task Group], D2)</f>
        <v>5</v>
      </c>
      <c r="F2">
        <v>2</v>
      </c>
      <c r="G2">
        <f>SUM(INDEX(tblPlan[Estimated Days],1):tblPlan[[#This Row],[Estimated Days]])</f>
        <v>2</v>
      </c>
    </row>
    <row r="3" spans="1:7" x14ac:dyDescent="0.25">
      <c r="A3" s="2">
        <v>46041</v>
      </c>
      <c r="B3" s="2" t="s">
        <v>191</v>
      </c>
      <c r="D3" t="s">
        <v>12</v>
      </c>
      <c r="E3">
        <f>COUNTIF(Tasks[Task Group], D3)</f>
        <v>5</v>
      </c>
      <c r="F3">
        <v>2</v>
      </c>
      <c r="G3">
        <f>SUM(INDEX(tblPlan[Estimated Days],1):tblPlan[[#This Row],[Estimated Days]])</f>
        <v>4</v>
      </c>
    </row>
    <row r="4" spans="1:7" x14ac:dyDescent="0.25">
      <c r="A4" s="2">
        <v>46069</v>
      </c>
      <c r="B4" s="2" t="s">
        <v>189</v>
      </c>
      <c r="D4" t="s">
        <v>200</v>
      </c>
      <c r="E4">
        <f>COUNTIF(Tasks[Task Group], D4)</f>
        <v>6</v>
      </c>
      <c r="F4">
        <v>2</v>
      </c>
      <c r="G4">
        <f>SUM(INDEX(tblPlan[Estimated Days],1):tblPlan[[#This Row],[Estimated Days]])</f>
        <v>6</v>
      </c>
    </row>
    <row r="5" spans="1:7" x14ac:dyDescent="0.25">
      <c r="A5" s="2">
        <v>46118</v>
      </c>
      <c r="B5" s="2" t="s">
        <v>187</v>
      </c>
      <c r="D5" t="s">
        <v>23</v>
      </c>
      <c r="E5">
        <f>COUNTIF(Tasks[Task Group], D5)</f>
        <v>4</v>
      </c>
      <c r="F5">
        <v>2</v>
      </c>
      <c r="G5">
        <f>SUM(INDEX(tblPlan[Estimated Days],1):tblPlan[[#This Row],[Estimated Days]])</f>
        <v>8</v>
      </c>
    </row>
    <row r="6" spans="1:7" x14ac:dyDescent="0.25">
      <c r="A6" s="2">
        <v>46167</v>
      </c>
      <c r="B6" s="2" t="s">
        <v>188</v>
      </c>
      <c r="D6" t="s">
        <v>28</v>
      </c>
      <c r="E6">
        <f>COUNTIF(Tasks[Task Group], D6)</f>
        <v>10</v>
      </c>
      <c r="F6">
        <v>2</v>
      </c>
      <c r="G6">
        <f>SUM(INDEX(tblPlan[Estimated Days],1):tblPlan[[#This Row],[Estimated Days]])</f>
        <v>10</v>
      </c>
    </row>
    <row r="7" spans="1:7" x14ac:dyDescent="0.25">
      <c r="A7" s="2">
        <v>46192</v>
      </c>
      <c r="B7" s="2" t="s">
        <v>192</v>
      </c>
      <c r="D7" t="s">
        <v>38</v>
      </c>
      <c r="E7">
        <f>COUNTIF(Tasks[Task Group], D7)</f>
        <v>8</v>
      </c>
      <c r="F7">
        <v>2</v>
      </c>
      <c r="G7">
        <f>SUM(INDEX(tblPlan[Estimated Days],1):tblPlan[[#This Row],[Estimated Days]])</f>
        <v>12</v>
      </c>
    </row>
    <row r="8" spans="1:7" x14ac:dyDescent="0.25">
      <c r="A8" s="2">
        <v>46206</v>
      </c>
      <c r="B8" s="2" t="s">
        <v>186</v>
      </c>
      <c r="D8" t="s">
        <v>46</v>
      </c>
      <c r="E8">
        <f>COUNTIF(Tasks[Task Group], D8)</f>
        <v>8</v>
      </c>
      <c r="F8">
        <v>2</v>
      </c>
      <c r="G8">
        <f>SUM(INDEX(tblPlan[Estimated Days],1):tblPlan[[#This Row],[Estimated Days]])</f>
        <v>14</v>
      </c>
    </row>
    <row r="9" spans="1:7" x14ac:dyDescent="0.25">
      <c r="A9" s="2">
        <v>46272</v>
      </c>
      <c r="B9" s="2" t="s">
        <v>193</v>
      </c>
      <c r="D9" t="s">
        <v>55</v>
      </c>
      <c r="E9">
        <f>COUNTIF(Tasks[Task Group], D9)</f>
        <v>7</v>
      </c>
      <c r="F9">
        <v>2</v>
      </c>
      <c r="G9">
        <f>SUM(INDEX(tblPlan[Estimated Days],1):tblPlan[[#This Row],[Estimated Days]])</f>
        <v>16</v>
      </c>
    </row>
    <row r="10" spans="1:7" x14ac:dyDescent="0.25">
      <c r="A10" s="2">
        <v>46307</v>
      </c>
      <c r="B10" s="2" t="s">
        <v>194</v>
      </c>
      <c r="D10" t="s">
        <v>63</v>
      </c>
      <c r="E10">
        <f>COUNTIF(Tasks[Task Group], D10)</f>
        <v>6</v>
      </c>
      <c r="F10">
        <v>2</v>
      </c>
      <c r="G10">
        <f>SUM(INDEX(tblPlan[Estimated Days],1):tblPlan[[#This Row],[Estimated Days]])</f>
        <v>18</v>
      </c>
    </row>
    <row r="11" spans="1:7" x14ac:dyDescent="0.25">
      <c r="A11" s="2">
        <v>46352</v>
      </c>
      <c r="B11" s="2" t="s">
        <v>195</v>
      </c>
      <c r="D11" t="s">
        <v>69</v>
      </c>
      <c r="E11">
        <f>COUNTIF(Tasks[Task Group], D11)</f>
        <v>6</v>
      </c>
      <c r="F11">
        <v>2</v>
      </c>
      <c r="G11">
        <f>SUM(INDEX(tblPlan[Estimated Days],1):tblPlan[[#This Row],[Estimated Days]])</f>
        <v>20</v>
      </c>
    </row>
    <row r="12" spans="1:7" x14ac:dyDescent="0.25">
      <c r="A12" s="2">
        <v>46353</v>
      </c>
      <c r="B12" s="2" t="s">
        <v>196</v>
      </c>
      <c r="D12" t="s">
        <v>76</v>
      </c>
      <c r="E12">
        <f>COUNTIF(Tasks[Task Group], D12)</f>
        <v>5</v>
      </c>
      <c r="F12">
        <v>2</v>
      </c>
      <c r="G12">
        <f>SUM(INDEX(tblPlan[Estimated Days],1):tblPlan[[#This Row],[Estimated Days]])</f>
        <v>22</v>
      </c>
    </row>
    <row r="13" spans="1:7" x14ac:dyDescent="0.25">
      <c r="A13" s="2">
        <v>46380</v>
      </c>
      <c r="B13" s="2" t="s">
        <v>197</v>
      </c>
      <c r="D13" t="s">
        <v>82</v>
      </c>
      <c r="E13">
        <f>COUNTIF(Tasks[Task Group], D13)</f>
        <v>5</v>
      </c>
      <c r="F13">
        <v>2</v>
      </c>
      <c r="G13">
        <f>SUM(INDEX(tblPlan[Estimated Days],1):tblPlan[[#This Row],[Estimated Days]])</f>
        <v>24</v>
      </c>
    </row>
    <row r="14" spans="1:7" x14ac:dyDescent="0.25">
      <c r="A14" s="2">
        <v>46381</v>
      </c>
      <c r="B14" s="2" t="s">
        <v>198</v>
      </c>
      <c r="D14" t="s">
        <v>88</v>
      </c>
      <c r="E14">
        <f>COUNTIF(Tasks[Task Group], D14)</f>
        <v>5</v>
      </c>
      <c r="F14">
        <v>2</v>
      </c>
      <c r="G14">
        <f>SUM(INDEX(tblPlan[Estimated Days],1):tblPlan[[#This Row],[Estimated Days]])</f>
        <v>26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Checklist</vt:lpstr>
      <vt:lpstr>Definitions</vt:lpstr>
      <vt:lpstr>Lookup</vt:lpstr>
      <vt:lpstr>Checklist!Print_Area</vt:lpstr>
      <vt:lpstr>Checklist!Print_Titles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Adams</dc:creator>
  <cp:lastModifiedBy>Jeffrey Adams</cp:lastModifiedBy>
  <cp:lastPrinted>2026-02-16T17:01:34Z</cp:lastPrinted>
  <dcterms:created xsi:type="dcterms:W3CDTF">2026-02-15T01:31:32Z</dcterms:created>
  <dcterms:modified xsi:type="dcterms:W3CDTF">2026-02-19T20:11:18Z</dcterms:modified>
</cp:coreProperties>
</file>